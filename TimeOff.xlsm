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fa301676f1bf51e/Documents/Coding/Scripts and Macros/"/>
    </mc:Choice>
  </mc:AlternateContent>
  <xr:revisionPtr revIDLastSave="1" documentId="11_CC078DC82449CEE7187C4ADADBEDCC79A6B43B50" xr6:coauthVersionLast="47" xr6:coauthVersionMax="47" xr10:uidLastSave="{645C3FD2-A18E-4346-BDB5-D10A71E5E8F2}"/>
  <bookViews>
    <workbookView xWindow="810" yWindow="-120" windowWidth="28110" windowHeight="16440" xr2:uid="{00000000-000D-0000-FFFF-FFFF00000000}"/>
  </bookViews>
  <sheets>
    <sheet name="Time Log" sheetId="1" r:id="rId1"/>
    <sheet name="Param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9" i="1" l="1"/>
  <c r="H129" i="1"/>
  <c r="G129" i="1"/>
  <c r="F129" i="1"/>
  <c r="E129" i="1"/>
  <c r="D129" i="1"/>
  <c r="I128" i="1"/>
  <c r="H128" i="1"/>
  <c r="G128" i="1"/>
  <c r="F128" i="1"/>
  <c r="E128" i="1"/>
  <c r="D128" i="1"/>
  <c r="I127" i="1"/>
  <c r="H127" i="1"/>
  <c r="G127" i="1"/>
  <c r="F127" i="1"/>
  <c r="E127" i="1"/>
  <c r="D127" i="1"/>
  <c r="I126" i="1"/>
  <c r="H126" i="1"/>
  <c r="G126" i="1"/>
  <c r="F126" i="1"/>
  <c r="E126" i="1"/>
  <c r="D126" i="1"/>
  <c r="I125" i="1"/>
  <c r="H125" i="1"/>
  <c r="G125" i="1"/>
  <c r="F125" i="1"/>
  <c r="E125" i="1"/>
  <c r="D125" i="1"/>
  <c r="I124" i="1"/>
  <c r="H124" i="1"/>
  <c r="G124" i="1"/>
  <c r="F124" i="1"/>
  <c r="E124" i="1"/>
  <c r="D124" i="1"/>
  <c r="I123" i="1"/>
  <c r="H123" i="1"/>
  <c r="G123" i="1"/>
  <c r="F123" i="1"/>
  <c r="E123" i="1"/>
  <c r="D123" i="1"/>
  <c r="I122" i="1"/>
  <c r="H122" i="1"/>
  <c r="G122" i="1"/>
  <c r="F122" i="1"/>
  <c r="E122" i="1"/>
  <c r="D122" i="1"/>
  <c r="I121" i="1"/>
  <c r="H121" i="1"/>
  <c r="G121" i="1"/>
  <c r="F121" i="1"/>
  <c r="E121" i="1"/>
  <c r="D121" i="1"/>
  <c r="I120" i="1"/>
  <c r="H120" i="1"/>
  <c r="G120" i="1"/>
  <c r="F120" i="1"/>
  <c r="E120" i="1"/>
  <c r="D120" i="1"/>
  <c r="I119" i="1"/>
  <c r="H119" i="1"/>
  <c r="G119" i="1"/>
  <c r="F119" i="1"/>
  <c r="E119" i="1"/>
  <c r="D119" i="1"/>
  <c r="I118" i="1"/>
  <c r="H118" i="1"/>
  <c r="G118" i="1"/>
  <c r="F118" i="1"/>
  <c r="E118" i="1"/>
  <c r="D118" i="1"/>
  <c r="I117" i="1"/>
  <c r="H117" i="1"/>
  <c r="G117" i="1"/>
  <c r="F117" i="1"/>
  <c r="E117" i="1"/>
  <c r="D117" i="1"/>
  <c r="I116" i="1"/>
  <c r="H116" i="1"/>
  <c r="G116" i="1"/>
  <c r="F116" i="1"/>
  <c r="E116" i="1"/>
  <c r="D116" i="1"/>
  <c r="I115" i="1"/>
  <c r="H115" i="1"/>
  <c r="G115" i="1"/>
  <c r="F115" i="1"/>
  <c r="E115" i="1"/>
  <c r="D115" i="1"/>
  <c r="I114" i="1"/>
  <c r="H114" i="1"/>
  <c r="G114" i="1"/>
  <c r="F114" i="1"/>
  <c r="E114" i="1"/>
  <c r="D114" i="1"/>
  <c r="I113" i="1"/>
  <c r="H113" i="1"/>
  <c r="G113" i="1"/>
  <c r="F113" i="1"/>
  <c r="E113" i="1"/>
  <c r="D113" i="1"/>
  <c r="I112" i="1"/>
  <c r="H112" i="1"/>
  <c r="G112" i="1"/>
  <c r="F112" i="1"/>
  <c r="E112" i="1"/>
  <c r="D112" i="1"/>
  <c r="I111" i="1"/>
  <c r="H111" i="1"/>
  <c r="G111" i="1"/>
  <c r="F111" i="1"/>
  <c r="E111" i="1"/>
  <c r="D111" i="1"/>
  <c r="I110" i="1"/>
  <c r="H110" i="1"/>
  <c r="G110" i="1"/>
  <c r="F110" i="1"/>
  <c r="E110" i="1"/>
  <c r="D110" i="1"/>
  <c r="I109" i="1"/>
  <c r="H109" i="1"/>
  <c r="G109" i="1"/>
  <c r="F109" i="1"/>
  <c r="E109" i="1"/>
  <c r="D109" i="1"/>
  <c r="I108" i="1"/>
  <c r="H108" i="1"/>
  <c r="G108" i="1"/>
  <c r="F108" i="1"/>
  <c r="E108" i="1"/>
  <c r="D108" i="1"/>
  <c r="I107" i="1"/>
  <c r="H107" i="1"/>
  <c r="G107" i="1"/>
  <c r="F107" i="1"/>
  <c r="E107" i="1"/>
  <c r="D107" i="1"/>
  <c r="I106" i="1"/>
  <c r="H106" i="1"/>
  <c r="G106" i="1"/>
  <c r="F106" i="1"/>
  <c r="E106" i="1"/>
  <c r="D106" i="1"/>
  <c r="I105" i="1"/>
  <c r="H105" i="1"/>
  <c r="G105" i="1"/>
  <c r="F105" i="1"/>
  <c r="E105" i="1"/>
  <c r="D105" i="1"/>
  <c r="I104" i="1"/>
  <c r="H104" i="1"/>
  <c r="G104" i="1"/>
  <c r="F104" i="1"/>
  <c r="E104" i="1"/>
  <c r="D104" i="1"/>
  <c r="I103" i="1"/>
  <c r="H103" i="1"/>
  <c r="G103" i="1"/>
  <c r="F103" i="1"/>
  <c r="E103" i="1"/>
  <c r="D103" i="1"/>
  <c r="I102" i="1"/>
  <c r="H102" i="1"/>
  <c r="G102" i="1"/>
  <c r="F102" i="1"/>
  <c r="E102" i="1"/>
  <c r="D102" i="1"/>
  <c r="I101" i="1"/>
  <c r="H101" i="1"/>
  <c r="G101" i="1"/>
  <c r="F101" i="1"/>
  <c r="E101" i="1"/>
  <c r="D101" i="1"/>
  <c r="I100" i="1"/>
  <c r="H100" i="1"/>
  <c r="G100" i="1"/>
  <c r="F100" i="1"/>
  <c r="E100" i="1"/>
  <c r="D100" i="1"/>
  <c r="I99" i="1"/>
  <c r="H99" i="1"/>
  <c r="G99" i="1"/>
  <c r="F99" i="1"/>
  <c r="E99" i="1"/>
  <c r="D99" i="1"/>
  <c r="I98" i="1"/>
  <c r="H98" i="1"/>
  <c r="G98" i="1"/>
  <c r="F98" i="1"/>
  <c r="E98" i="1"/>
  <c r="D98" i="1"/>
  <c r="I97" i="1"/>
  <c r="H97" i="1"/>
  <c r="G97" i="1"/>
  <c r="F97" i="1"/>
  <c r="E97" i="1"/>
  <c r="D97" i="1"/>
  <c r="I96" i="1"/>
  <c r="H96" i="1"/>
  <c r="G96" i="1"/>
  <c r="F96" i="1"/>
  <c r="E96" i="1"/>
  <c r="D96" i="1"/>
  <c r="I95" i="1"/>
  <c r="H95" i="1"/>
  <c r="G95" i="1"/>
  <c r="F95" i="1"/>
  <c r="E95" i="1"/>
  <c r="D95" i="1"/>
  <c r="I94" i="1"/>
  <c r="H94" i="1"/>
  <c r="G94" i="1"/>
  <c r="F94" i="1"/>
  <c r="E94" i="1"/>
  <c r="D94" i="1"/>
  <c r="I93" i="1"/>
  <c r="H93" i="1"/>
  <c r="G93" i="1"/>
  <c r="F93" i="1"/>
  <c r="E93" i="1"/>
  <c r="D93" i="1"/>
  <c r="I92" i="1"/>
  <c r="H92" i="1"/>
  <c r="G92" i="1"/>
  <c r="F92" i="1"/>
  <c r="E92" i="1"/>
  <c r="D92" i="1"/>
  <c r="I91" i="1"/>
  <c r="H91" i="1"/>
  <c r="G91" i="1"/>
  <c r="F91" i="1"/>
  <c r="E91" i="1"/>
  <c r="D91" i="1"/>
  <c r="I90" i="1"/>
  <c r="H90" i="1"/>
  <c r="G90" i="1"/>
  <c r="F90" i="1"/>
  <c r="E90" i="1"/>
  <c r="D90" i="1"/>
  <c r="I89" i="1"/>
  <c r="H89" i="1"/>
  <c r="G89" i="1"/>
  <c r="F89" i="1"/>
  <c r="E89" i="1"/>
  <c r="D89" i="1"/>
  <c r="I88" i="1"/>
  <c r="H88" i="1"/>
  <c r="G88" i="1"/>
  <c r="F88" i="1"/>
  <c r="E88" i="1"/>
  <c r="D88" i="1"/>
  <c r="I87" i="1"/>
  <c r="H87" i="1"/>
  <c r="G87" i="1"/>
  <c r="F87" i="1"/>
  <c r="E87" i="1"/>
  <c r="D87" i="1"/>
  <c r="I86" i="1"/>
  <c r="H86" i="1"/>
  <c r="G86" i="1"/>
  <c r="F86" i="1"/>
  <c r="E86" i="1"/>
  <c r="D86" i="1"/>
  <c r="I85" i="1"/>
  <c r="H85" i="1"/>
  <c r="G85" i="1"/>
  <c r="F85" i="1"/>
  <c r="E85" i="1"/>
  <c r="D85" i="1"/>
  <c r="I84" i="1"/>
  <c r="H84" i="1"/>
  <c r="G84" i="1"/>
  <c r="F84" i="1"/>
  <c r="E84" i="1"/>
  <c r="D84" i="1"/>
  <c r="I83" i="1"/>
  <c r="H83" i="1"/>
  <c r="G83" i="1"/>
  <c r="F83" i="1"/>
  <c r="E83" i="1"/>
  <c r="D83" i="1"/>
  <c r="I82" i="1"/>
  <c r="H82" i="1"/>
  <c r="G82" i="1"/>
  <c r="F82" i="1"/>
  <c r="E82" i="1"/>
  <c r="D82" i="1"/>
  <c r="I81" i="1"/>
  <c r="H81" i="1"/>
  <c r="G81" i="1"/>
  <c r="F81" i="1"/>
  <c r="E81" i="1"/>
  <c r="D81" i="1"/>
  <c r="I80" i="1"/>
  <c r="H80" i="1"/>
  <c r="G80" i="1"/>
  <c r="F80" i="1"/>
  <c r="E80" i="1"/>
  <c r="D80" i="1"/>
  <c r="I79" i="1"/>
  <c r="H79" i="1"/>
  <c r="G79" i="1"/>
  <c r="F79" i="1"/>
  <c r="E79" i="1"/>
  <c r="D79" i="1"/>
  <c r="I78" i="1"/>
  <c r="H78" i="1"/>
  <c r="G78" i="1"/>
  <c r="F78" i="1"/>
  <c r="E78" i="1"/>
  <c r="D78" i="1"/>
  <c r="I77" i="1"/>
  <c r="H77" i="1"/>
  <c r="G77" i="1"/>
  <c r="F77" i="1"/>
  <c r="E77" i="1"/>
  <c r="D77" i="1"/>
  <c r="I76" i="1"/>
  <c r="H76" i="1"/>
  <c r="G76" i="1"/>
  <c r="F76" i="1"/>
  <c r="E76" i="1"/>
  <c r="D76" i="1"/>
  <c r="I75" i="1"/>
  <c r="H75" i="1"/>
  <c r="G75" i="1"/>
  <c r="F75" i="1"/>
  <c r="E75" i="1"/>
  <c r="D75" i="1"/>
  <c r="I74" i="1"/>
  <c r="H74" i="1"/>
  <c r="G74" i="1"/>
  <c r="F74" i="1"/>
  <c r="E74" i="1"/>
  <c r="D74" i="1"/>
  <c r="I73" i="1"/>
  <c r="H73" i="1"/>
  <c r="G73" i="1"/>
  <c r="F73" i="1"/>
  <c r="E73" i="1"/>
  <c r="D73" i="1"/>
  <c r="I72" i="1"/>
  <c r="H72" i="1"/>
  <c r="G72" i="1"/>
  <c r="F72" i="1"/>
  <c r="E72" i="1"/>
  <c r="D72" i="1"/>
  <c r="I71" i="1"/>
  <c r="H71" i="1"/>
  <c r="G71" i="1"/>
  <c r="F71" i="1"/>
  <c r="E71" i="1"/>
  <c r="D71" i="1"/>
  <c r="I70" i="1"/>
  <c r="H70" i="1"/>
  <c r="G70" i="1"/>
  <c r="F70" i="1"/>
  <c r="E70" i="1"/>
  <c r="D70" i="1"/>
  <c r="I69" i="1"/>
  <c r="H69" i="1"/>
  <c r="G69" i="1"/>
  <c r="F69" i="1"/>
  <c r="E69" i="1"/>
  <c r="D69" i="1"/>
  <c r="I68" i="1"/>
  <c r="H68" i="1"/>
  <c r="G68" i="1"/>
  <c r="F68" i="1"/>
  <c r="E68" i="1"/>
  <c r="D68" i="1"/>
  <c r="I67" i="1"/>
  <c r="H67" i="1"/>
  <c r="G67" i="1"/>
  <c r="F67" i="1"/>
  <c r="E67" i="1"/>
  <c r="D67" i="1"/>
  <c r="I66" i="1"/>
  <c r="H66" i="1"/>
  <c r="G66" i="1"/>
  <c r="F66" i="1"/>
  <c r="E66" i="1"/>
  <c r="D66" i="1"/>
  <c r="I65" i="1"/>
  <c r="H65" i="1"/>
  <c r="G65" i="1"/>
  <c r="F65" i="1"/>
  <c r="E65" i="1"/>
  <c r="D65" i="1"/>
  <c r="I64" i="1"/>
  <c r="H64" i="1"/>
  <c r="G64" i="1"/>
  <c r="F64" i="1"/>
  <c r="E64" i="1"/>
  <c r="D64" i="1"/>
  <c r="I63" i="1"/>
  <c r="H63" i="1"/>
  <c r="G63" i="1"/>
  <c r="F63" i="1"/>
  <c r="E63" i="1"/>
  <c r="D63" i="1"/>
  <c r="I62" i="1"/>
  <c r="H62" i="1"/>
  <c r="G62" i="1"/>
  <c r="F62" i="1"/>
  <c r="E62" i="1"/>
  <c r="D62" i="1"/>
  <c r="I61" i="1"/>
  <c r="H61" i="1"/>
  <c r="G61" i="1"/>
  <c r="F61" i="1"/>
  <c r="E61" i="1"/>
  <c r="D61" i="1"/>
  <c r="I60" i="1"/>
  <c r="H60" i="1"/>
  <c r="G60" i="1"/>
  <c r="F60" i="1"/>
  <c r="E60" i="1"/>
  <c r="D60" i="1"/>
  <c r="I59" i="1"/>
  <c r="H59" i="1"/>
  <c r="G59" i="1"/>
  <c r="F59" i="1"/>
  <c r="E59" i="1"/>
  <c r="D59" i="1"/>
  <c r="I58" i="1"/>
  <c r="H58" i="1"/>
  <c r="G58" i="1"/>
  <c r="F58" i="1"/>
  <c r="E58" i="1"/>
  <c r="D58" i="1"/>
  <c r="I57" i="1"/>
  <c r="H57" i="1"/>
  <c r="G57" i="1"/>
  <c r="F57" i="1"/>
  <c r="E57" i="1"/>
  <c r="D57" i="1"/>
  <c r="I56" i="1"/>
  <c r="H56" i="1"/>
  <c r="G56" i="1"/>
  <c r="F56" i="1"/>
  <c r="E56" i="1"/>
  <c r="D56" i="1"/>
  <c r="I55" i="1"/>
  <c r="H55" i="1"/>
  <c r="G55" i="1"/>
  <c r="F55" i="1"/>
  <c r="E55" i="1"/>
  <c r="D55" i="1"/>
  <c r="I54" i="1"/>
  <c r="H54" i="1"/>
  <c r="G54" i="1"/>
  <c r="F54" i="1"/>
  <c r="E54" i="1"/>
  <c r="D54" i="1"/>
  <c r="I53" i="1"/>
  <c r="H53" i="1"/>
  <c r="G53" i="1"/>
  <c r="F53" i="1"/>
  <c r="E53" i="1"/>
  <c r="D53" i="1"/>
  <c r="I52" i="1"/>
  <c r="H52" i="1"/>
  <c r="G52" i="1"/>
  <c r="F52" i="1"/>
  <c r="E52" i="1"/>
  <c r="D52" i="1"/>
  <c r="I51" i="1"/>
  <c r="H51" i="1"/>
  <c r="G51" i="1"/>
  <c r="F51" i="1"/>
  <c r="E51" i="1"/>
  <c r="D51" i="1"/>
  <c r="I50" i="1"/>
  <c r="H50" i="1"/>
  <c r="G50" i="1"/>
  <c r="F50" i="1"/>
  <c r="E50" i="1"/>
  <c r="D50" i="1"/>
  <c r="I49" i="1"/>
  <c r="H49" i="1"/>
  <c r="G49" i="1"/>
  <c r="F49" i="1"/>
  <c r="E49" i="1"/>
  <c r="D49" i="1"/>
  <c r="I48" i="1"/>
  <c r="H48" i="1"/>
  <c r="G48" i="1"/>
  <c r="F48" i="1"/>
  <c r="E48" i="1"/>
  <c r="D48" i="1"/>
  <c r="I47" i="1"/>
  <c r="H47" i="1"/>
  <c r="G47" i="1"/>
  <c r="F47" i="1"/>
  <c r="E47" i="1"/>
  <c r="D47" i="1"/>
  <c r="I46" i="1"/>
  <c r="H46" i="1"/>
  <c r="G46" i="1"/>
  <c r="F46" i="1"/>
  <c r="E46" i="1"/>
  <c r="D46" i="1"/>
  <c r="I45" i="1"/>
  <c r="H45" i="1"/>
  <c r="G45" i="1"/>
  <c r="F45" i="1"/>
  <c r="E45" i="1"/>
  <c r="D45" i="1"/>
  <c r="I44" i="1"/>
  <c r="H44" i="1"/>
  <c r="G44" i="1"/>
  <c r="F44" i="1"/>
  <c r="E44" i="1"/>
  <c r="D44" i="1"/>
  <c r="I43" i="1"/>
  <c r="H43" i="1"/>
  <c r="G43" i="1"/>
  <c r="F43" i="1"/>
  <c r="E43" i="1"/>
  <c r="D43" i="1"/>
  <c r="I42" i="1"/>
  <c r="H42" i="1"/>
  <c r="G42" i="1"/>
  <c r="F42" i="1"/>
  <c r="E42" i="1"/>
  <c r="D42" i="1"/>
  <c r="I41" i="1"/>
  <c r="H41" i="1"/>
  <c r="G41" i="1"/>
  <c r="F41" i="1"/>
  <c r="E41" i="1"/>
  <c r="D41" i="1"/>
  <c r="I40" i="1"/>
  <c r="H40" i="1"/>
  <c r="G40" i="1"/>
  <c r="F40" i="1"/>
  <c r="E40" i="1"/>
  <c r="D40" i="1"/>
  <c r="I39" i="1"/>
  <c r="H39" i="1"/>
  <c r="G39" i="1"/>
  <c r="F39" i="1"/>
  <c r="E39" i="1"/>
  <c r="D39" i="1"/>
  <c r="I38" i="1"/>
  <c r="H38" i="1"/>
  <c r="G38" i="1"/>
  <c r="F38" i="1"/>
  <c r="E38" i="1"/>
  <c r="D38" i="1"/>
  <c r="I37" i="1"/>
  <c r="H37" i="1"/>
  <c r="G37" i="1"/>
  <c r="F37" i="1"/>
  <c r="E37" i="1"/>
  <c r="D37" i="1"/>
  <c r="I36" i="1"/>
  <c r="H36" i="1"/>
  <c r="G36" i="1"/>
  <c r="F36" i="1"/>
  <c r="E36" i="1"/>
  <c r="D36" i="1"/>
  <c r="I35" i="1"/>
  <c r="H35" i="1"/>
  <c r="G35" i="1"/>
  <c r="F35" i="1"/>
  <c r="E35" i="1"/>
  <c r="D35" i="1"/>
  <c r="I34" i="1"/>
  <c r="H34" i="1"/>
  <c r="G34" i="1"/>
  <c r="F34" i="1"/>
  <c r="E34" i="1"/>
  <c r="D34" i="1"/>
  <c r="I33" i="1"/>
  <c r="H33" i="1"/>
  <c r="G33" i="1"/>
  <c r="F33" i="1"/>
  <c r="E33" i="1"/>
  <c r="D33" i="1"/>
  <c r="I32" i="1"/>
  <c r="H32" i="1"/>
  <c r="G32" i="1"/>
  <c r="F32" i="1"/>
  <c r="E32" i="1"/>
  <c r="D32" i="1"/>
  <c r="I31" i="1"/>
  <c r="H31" i="1"/>
  <c r="G31" i="1"/>
  <c r="F31" i="1"/>
  <c r="E31" i="1"/>
  <c r="D31" i="1"/>
  <c r="I30" i="1"/>
  <c r="H30" i="1"/>
  <c r="G30" i="1"/>
  <c r="F30" i="1"/>
  <c r="E30" i="1"/>
  <c r="D30" i="1"/>
  <c r="I29" i="1"/>
  <c r="H29" i="1"/>
  <c r="G29" i="1"/>
  <c r="F29" i="1"/>
  <c r="E29" i="1"/>
  <c r="D29" i="1"/>
  <c r="I28" i="1"/>
  <c r="H28" i="1"/>
  <c r="G28" i="1"/>
  <c r="F28" i="1"/>
  <c r="E28" i="1"/>
  <c r="D28" i="1"/>
  <c r="I27" i="1"/>
  <c r="H27" i="1"/>
  <c r="G27" i="1"/>
  <c r="F27" i="1"/>
  <c r="E27" i="1"/>
  <c r="D27" i="1"/>
  <c r="I26" i="1"/>
  <c r="H26" i="1"/>
  <c r="G26" i="1"/>
  <c r="F26" i="1"/>
  <c r="E26" i="1"/>
  <c r="D26" i="1"/>
  <c r="I25" i="1"/>
  <c r="H25" i="1"/>
  <c r="G25" i="1"/>
  <c r="F25" i="1"/>
  <c r="E25" i="1"/>
  <c r="D25" i="1"/>
  <c r="I24" i="1"/>
  <c r="H24" i="1"/>
  <c r="G24" i="1"/>
  <c r="F24" i="1"/>
  <c r="E24" i="1"/>
  <c r="D24" i="1"/>
  <c r="I23" i="1"/>
  <c r="H23" i="1"/>
  <c r="G23" i="1"/>
  <c r="F23" i="1"/>
  <c r="E23" i="1"/>
  <c r="D23" i="1"/>
  <c r="I22" i="1"/>
  <c r="H22" i="1"/>
  <c r="G22" i="1"/>
  <c r="F22" i="1"/>
  <c r="E22" i="1"/>
  <c r="D22" i="1"/>
  <c r="I21" i="1"/>
  <c r="H21" i="1"/>
  <c r="G21" i="1"/>
  <c r="F21" i="1"/>
  <c r="E21" i="1"/>
  <c r="D21" i="1"/>
  <c r="I20" i="1"/>
  <c r="H20" i="1"/>
  <c r="G20" i="1"/>
  <c r="F20" i="1"/>
  <c r="E20" i="1"/>
  <c r="D20" i="1"/>
  <c r="I19" i="1"/>
  <c r="H19" i="1"/>
  <c r="G19" i="1"/>
  <c r="F19" i="1"/>
  <c r="E19" i="1"/>
  <c r="D19" i="1"/>
  <c r="I18" i="1"/>
  <c r="H18" i="1"/>
  <c r="G18" i="1"/>
  <c r="F18" i="1"/>
  <c r="E18" i="1"/>
  <c r="D18" i="1"/>
  <c r="I17" i="1"/>
  <c r="H17" i="1"/>
  <c r="G17" i="1"/>
  <c r="F17" i="1"/>
  <c r="E17" i="1"/>
  <c r="D17" i="1"/>
  <c r="I16" i="1"/>
  <c r="H16" i="1"/>
  <c r="G16" i="1"/>
  <c r="F16" i="1"/>
  <c r="E16" i="1"/>
  <c r="D16" i="1"/>
  <c r="I15" i="1"/>
  <c r="H15" i="1"/>
  <c r="G15" i="1"/>
  <c r="F15" i="1"/>
  <c r="E15" i="1"/>
  <c r="D15" i="1"/>
  <c r="I14" i="1"/>
  <c r="H14" i="1"/>
  <c r="G14" i="1"/>
  <c r="F14" i="1"/>
  <c r="E14" i="1"/>
  <c r="D14" i="1"/>
  <c r="I13" i="1"/>
  <c r="H13" i="1"/>
  <c r="G13" i="1"/>
  <c r="F13" i="1"/>
  <c r="E13" i="1"/>
  <c r="D13" i="1"/>
  <c r="I12" i="1"/>
  <c r="H12" i="1"/>
  <c r="G12" i="1"/>
  <c r="F12" i="1"/>
  <c r="E12" i="1"/>
  <c r="D12" i="1"/>
  <c r="I11" i="1"/>
  <c r="H11" i="1"/>
  <c r="G11" i="1"/>
  <c r="F11" i="1"/>
  <c r="E11" i="1"/>
  <c r="D11" i="1"/>
  <c r="I10" i="1"/>
  <c r="H10" i="1"/>
  <c r="G10" i="1"/>
  <c r="F10" i="1"/>
  <c r="E10" i="1"/>
  <c r="D10" i="1"/>
  <c r="I9" i="1"/>
  <c r="H9" i="1"/>
  <c r="G9" i="1"/>
  <c r="F9" i="1"/>
  <c r="E9" i="1"/>
  <c r="D9" i="1"/>
  <c r="I8" i="1"/>
  <c r="H8" i="1"/>
  <c r="G8" i="1"/>
  <c r="F8" i="1"/>
  <c r="E8" i="1"/>
  <c r="D8" i="1"/>
  <c r="I7" i="1"/>
  <c r="H7" i="1"/>
  <c r="G7" i="1"/>
  <c r="F7" i="1"/>
  <c r="E7" i="1"/>
  <c r="D7" i="1"/>
  <c r="I6" i="1"/>
  <c r="H6" i="1"/>
  <c r="G6" i="1"/>
  <c r="F6" i="1"/>
  <c r="E6" i="1"/>
  <c r="D6" i="1"/>
  <c r="B4" i="2" l="1"/>
  <c r="M5" i="1" l="1"/>
  <c r="L2" i="1" l="1"/>
  <c r="L4" i="1" s="1"/>
  <c r="K2" i="1"/>
  <c r="K4" i="1" s="1"/>
</calcChain>
</file>

<file path=xl/sharedStrings.xml><?xml version="1.0" encoding="utf-8"?>
<sst xmlns="http://schemas.openxmlformats.org/spreadsheetml/2006/main" count="16" uniqueCount="16">
  <si>
    <t>Sick Hours</t>
  </si>
  <si>
    <t>Running Sick Total</t>
  </si>
  <si>
    <t>Start Date</t>
  </si>
  <si>
    <t>Personal Hours</t>
  </si>
  <si>
    <t>Running Personal Total</t>
  </si>
  <si>
    <t>Sick Time Offset</t>
  </si>
  <si>
    <t>Pers Time Offset</t>
  </si>
  <si>
    <t>Date_field</t>
  </si>
  <si>
    <t>Running Pers Accrued</t>
  </si>
  <si>
    <t>Running Sick Accrued</t>
  </si>
  <si>
    <t>Running Pers Used</t>
  </si>
  <si>
    <t>Running Sick Used</t>
  </si>
  <si>
    <t>Sick Rate Per Period</t>
  </si>
  <si>
    <t>Pers Rate Per Period</t>
  </si>
  <si>
    <t>Personal Hours Balance</t>
  </si>
  <si>
    <t>Sick Hours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</si>
</sst>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2" borderId="0" xfId="0" applyFill="1"/>
    <xf numFmtId="14" fontId="0" fillId="2" borderId="0" xfId="0" applyNumberFormat="1" applyFill="1"/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/>
    </xf>
    <xf numFmtId="164" fontId="2" fillId="2" borderId="4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164" fontId="3" fillId="2" borderId="6" xfId="0" applyNumberFormat="1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14" fontId="0" fillId="0" borderId="0" xfId="0" applyNumberFormat="1" applyFill="1"/>
    <xf numFmtId="4" fontId="0" fillId="0" borderId="0" xfId="0" applyNumberFormat="1" applyFill="1"/>
    <xf numFmtId="0" fontId="0" fillId="0" borderId="0" xfId="0" applyFill="1"/>
  </cellXfs>
  <cellStyles count="1">
    <cellStyle name="Normal" xfId="0" builtinId="0"/>
  </cellStyles>
  <dxfs count="16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numFmt numFmtId="4" formatCode="#,##0.00"/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>
          <fgColor indexed="64"/>
          <bgColor theme="7"/>
        </patternFill>
      </fill>
    </dxf>
    <dxf>
      <fill>
        <patternFill>
          <fgColor indexed="64"/>
          <bgColor theme="7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4</xdr:row>
      <xdr:rowOff>38100</xdr:rowOff>
    </xdr:from>
    <xdr:to>
      <xdr:col>10</xdr:col>
      <xdr:colOff>28575</xdr:colOff>
      <xdr:row>5</xdr:row>
      <xdr:rowOff>0</xdr:rowOff>
    </xdr:to>
    <xdr:sp macro="[0]!time_loop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58150" y="38100"/>
          <a:ext cx="1171575" cy="3143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Insert Time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oursTable" displayName="HoursTable" ref="A5:I129" totalsRowShown="0" headerRowDxfId="1" dataDxfId="0">
  <autoFilter ref="A5:I129" xr:uid="{00000000-0009-0000-0100-000001000000}"/>
  <sortState xmlns:xlrd2="http://schemas.microsoft.com/office/spreadsheetml/2017/richdata2" ref="A6:I129">
    <sortCondition ref="A6:A129"/>
  </sortState>
  <tableColumns count="9">
    <tableColumn id="1" xr3:uid="{00000000-0010-0000-0000-000001000000}" name="Date_field" dataDxfId="10"/>
    <tableColumn id="2" xr3:uid="{00000000-0010-0000-0000-000002000000}" name="Personal Hours" dataDxfId="9"/>
    <tableColumn id="3" xr3:uid="{00000000-0010-0000-0000-000003000000}" name="Sick Hours" dataDxfId="8"/>
    <tableColumn id="4" xr3:uid="{00000000-0010-0000-0000-000004000000}" name="Running Personal Total" dataDxfId="7">
      <calculatedColumnFormula>Params!B$3+SUM($B$2:B6)</calculatedColumnFormula>
    </tableColumn>
    <tableColumn id="5" xr3:uid="{00000000-0010-0000-0000-000005000000}" name="Running Sick Total" dataDxfId="6">
      <calculatedColumnFormula>Params!B$2+SUM($C$2:C6)</calculatedColumnFormula>
    </tableColumn>
    <tableColumn id="6" xr3:uid="{00000000-0010-0000-0000-000006000000}" name="Running Pers Accrued" dataDxfId="5">
      <calculatedColumnFormula>Params!B$3+SUMIF($B$2:B6,"&gt;0")</calculatedColumnFormula>
    </tableColumn>
    <tableColumn id="7" xr3:uid="{00000000-0010-0000-0000-000007000000}" name="Running Sick Accrued" dataDxfId="4">
      <calculatedColumnFormula>Params!B$2+SUMIF($C$2:C6,"&gt;0")</calculatedColumnFormula>
    </tableColumn>
    <tableColumn id="8" xr3:uid="{00000000-0010-0000-0000-000008000000}" name="Running Pers Used" dataDxfId="3">
      <calculatedColumnFormula>SUMIF($B$2:B6,"&lt;0")</calculatedColumnFormula>
    </tableColumn>
    <tableColumn id="9" xr3:uid="{00000000-0010-0000-0000-000009000000}" name="Running Sick Used" dataDxfId="2">
      <calculatedColumnFormula>SUMIF($C$2:C6,"&lt;0")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29"/>
  <sheetViews>
    <sheetView tabSelected="1" workbookViewId="0">
      <pane ySplit="5" topLeftCell="A111" activePane="bottomLeft" state="frozen"/>
      <selection pane="bottomLeft" activeCell="G137" sqref="G137"/>
    </sheetView>
  </sheetViews>
  <sheetFormatPr defaultRowHeight="15" x14ac:dyDescent="0.25"/>
  <cols>
    <col min="1" max="1" width="12.5703125" style="3" bestFit="1" customWidth="1"/>
    <col min="2" max="2" width="16.42578125" style="3" customWidth="1"/>
    <col min="3" max="3" width="12.140625" style="3" customWidth="1"/>
    <col min="4" max="4" width="23.42578125" style="3" customWidth="1"/>
    <col min="5" max="5" width="19.140625" style="3" customWidth="1"/>
    <col min="6" max="6" width="22.7109375" style="3" bestFit="1" customWidth="1"/>
    <col min="7" max="7" width="22.28515625" style="3" bestFit="1" customWidth="1"/>
    <col min="8" max="8" width="19.5703125" style="3" customWidth="1"/>
    <col min="9" max="9" width="19.85546875" style="3" customWidth="1"/>
    <col min="10" max="10" width="17.7109375" style="3" customWidth="1"/>
    <col min="11" max="11" width="28.42578125" style="3" bestFit="1" customWidth="1"/>
    <col min="12" max="12" width="22.85546875" style="3" bestFit="1" customWidth="1"/>
    <col min="13" max="13" width="12.7109375" style="3" customWidth="1"/>
    <col min="14" max="16384" width="9.140625" style="3"/>
  </cols>
  <sheetData>
    <row r="1" spans="1:13" ht="18.75" x14ac:dyDescent="0.25">
      <c r="K1" s="5" t="s">
        <v>14</v>
      </c>
      <c r="L1" s="6" t="s">
        <v>15</v>
      </c>
      <c r="M1" s="4"/>
    </row>
    <row r="2" spans="1:13" ht="19.5" thickBot="1" x14ac:dyDescent="0.3">
      <c r="K2" s="7">
        <f ca="1">Params!B3+SUMIFS(B:B,A:A,"&lt;="&amp;$M$5)</f>
        <v>88</v>
      </c>
      <c r="L2" s="8">
        <f ca="1">Params!B2+SUMIFS(C:C,A:A,"&lt;="&amp;$M$5)</f>
        <v>84.385385660000011</v>
      </c>
    </row>
    <row r="3" spans="1:13" ht="15.75" thickBot="1" x14ac:dyDescent="0.3">
      <c r="K3" s="9"/>
      <c r="L3" s="10"/>
    </row>
    <row r="4" spans="1:13" ht="16.5" thickBot="1" x14ac:dyDescent="0.3">
      <c r="K4" s="11" t="str">
        <f ca="1">ROUND(K2/8,1) &amp; " Days"</f>
        <v>11 Days</v>
      </c>
      <c r="L4" s="12" t="str">
        <f ca="1">ROUND(L2/8,1) &amp; " Days"</f>
        <v>10.5 Days</v>
      </c>
    </row>
    <row r="5" spans="1:13" x14ac:dyDescent="0.25">
      <c r="A5" s="15" t="s">
        <v>7</v>
      </c>
      <c r="B5" s="15" t="s">
        <v>3</v>
      </c>
      <c r="C5" s="15" t="s">
        <v>0</v>
      </c>
      <c r="D5" s="15" t="s">
        <v>4</v>
      </c>
      <c r="E5" s="15" t="s">
        <v>1</v>
      </c>
      <c r="F5" s="15" t="s">
        <v>8</v>
      </c>
      <c r="G5" s="15" t="s">
        <v>9</v>
      </c>
      <c r="H5" s="15" t="s">
        <v>10</v>
      </c>
      <c r="I5" s="15" t="s">
        <v>11</v>
      </c>
      <c r="J5" s="2"/>
      <c r="M5" s="4">
        <f ca="1">TODAY()</f>
        <v>44530</v>
      </c>
    </row>
    <row r="6" spans="1:13" x14ac:dyDescent="0.25">
      <c r="A6" s="13">
        <v>43829</v>
      </c>
      <c r="B6" s="14">
        <v>-4</v>
      </c>
      <c r="C6" s="14"/>
      <c r="D6" s="14">
        <f>Params!B$3+SUM($B$2:B6)</f>
        <v>0</v>
      </c>
      <c r="E6" s="14">
        <f>Params!B$2+SUM($C$2:C6)</f>
        <v>1.3360000000000001</v>
      </c>
      <c r="F6" s="14">
        <f>Params!B$3+SUMIF($B$2:B6,"&gt;0")</f>
        <v>4</v>
      </c>
      <c r="G6" s="14">
        <f>Params!B$2+SUMIF($C$2:C6,"&gt;0")</f>
        <v>1.3360000000000001</v>
      </c>
      <c r="H6" s="14">
        <f>SUMIF($B$2:B6,"&lt;0")</f>
        <v>-4</v>
      </c>
      <c r="I6" s="14">
        <f>SUMIF($C$2:C6,"&lt;0")</f>
        <v>0</v>
      </c>
    </row>
    <row r="7" spans="1:13" x14ac:dyDescent="0.25">
      <c r="A7" s="13">
        <v>43829</v>
      </c>
      <c r="B7" s="14"/>
      <c r="C7" s="14">
        <v>-1</v>
      </c>
      <c r="D7" s="14">
        <f>Params!B$3+SUM($B$2:B7)</f>
        <v>0</v>
      </c>
      <c r="E7" s="14">
        <f>Params!B$2+SUM($C$2:C7)</f>
        <v>0.33600000000000008</v>
      </c>
      <c r="F7" s="14">
        <f>Params!B$3+SUMIF($B$2:B7,"&gt;0")</f>
        <v>4</v>
      </c>
      <c r="G7" s="14">
        <f>Params!B$2+SUMIF($C$2:C7,"&gt;0")</f>
        <v>1.3360000000000001</v>
      </c>
      <c r="H7" s="14">
        <f>SUMIF($B$2:B7,"&lt;0")</f>
        <v>-4</v>
      </c>
      <c r="I7" s="14">
        <f>SUMIF($C$2:C7,"&lt;0")</f>
        <v>-1</v>
      </c>
    </row>
    <row r="8" spans="1:13" x14ac:dyDescent="0.25">
      <c r="A8" s="13">
        <v>43830</v>
      </c>
      <c r="B8" s="14">
        <v>4</v>
      </c>
      <c r="C8" s="14"/>
      <c r="D8" s="14">
        <f>Params!B$3+SUM($B$2:B8)</f>
        <v>4</v>
      </c>
      <c r="E8" s="14">
        <f>Params!B$2+SUM($C$2:C8)</f>
        <v>0.33600000000000008</v>
      </c>
      <c r="F8" s="14">
        <f>Params!B$3+SUMIF($B$2:B8,"&gt;0")</f>
        <v>8</v>
      </c>
      <c r="G8" s="14">
        <f>Params!B$2+SUMIF($C$2:C8,"&gt;0")</f>
        <v>1.3360000000000001</v>
      </c>
      <c r="H8" s="14">
        <f>SUMIF($B$2:B8,"&lt;0")</f>
        <v>-4</v>
      </c>
      <c r="I8" s="14">
        <f>SUMIF($C$2:C8,"&lt;0")</f>
        <v>-1</v>
      </c>
    </row>
    <row r="9" spans="1:13" x14ac:dyDescent="0.25">
      <c r="A9" s="13">
        <v>43830</v>
      </c>
      <c r="B9" s="14"/>
      <c r="C9" s="14">
        <v>2.8946677799999998</v>
      </c>
      <c r="D9" s="14">
        <f>Params!B$3+SUM($B$2:B9)</f>
        <v>4</v>
      </c>
      <c r="E9" s="14">
        <f>Params!B$2+SUM($C$2:C9)</f>
        <v>3.2306677800000001</v>
      </c>
      <c r="F9" s="14">
        <f>Params!B$3+SUMIF($B$2:B9,"&gt;0")</f>
        <v>8</v>
      </c>
      <c r="G9" s="14">
        <f>Params!B$2+SUMIF($C$2:C9,"&gt;0")</f>
        <v>4.2306677800000001</v>
      </c>
      <c r="H9" s="14">
        <f>SUMIF($B$2:B9,"&lt;0")</f>
        <v>-4</v>
      </c>
      <c r="I9" s="14">
        <f>SUMIF($C$2:C9,"&lt;0")</f>
        <v>-1</v>
      </c>
    </row>
    <row r="10" spans="1:13" x14ac:dyDescent="0.25">
      <c r="A10" s="13">
        <v>43845</v>
      </c>
      <c r="B10" s="14">
        <v>4</v>
      </c>
      <c r="C10" s="14"/>
      <c r="D10" s="14">
        <f>Params!B$3+SUM($B$2:B10)</f>
        <v>8</v>
      </c>
      <c r="E10" s="14">
        <f>Params!B$2+SUM($C$2:C10)</f>
        <v>3.2306677800000001</v>
      </c>
      <c r="F10" s="14">
        <f>Params!B$3+SUMIF($B$2:B10,"&gt;0")</f>
        <v>12</v>
      </c>
      <c r="G10" s="14">
        <f>Params!B$2+SUMIF($C$2:C10,"&gt;0")</f>
        <v>4.2306677800000001</v>
      </c>
      <c r="H10" s="14">
        <f>SUMIF($B$2:B10,"&lt;0")</f>
        <v>-4</v>
      </c>
      <c r="I10" s="14">
        <f>SUMIF($C$2:C10,"&lt;0")</f>
        <v>-1</v>
      </c>
    </row>
    <row r="11" spans="1:13" x14ac:dyDescent="0.25">
      <c r="A11" s="13">
        <v>43845</v>
      </c>
      <c r="B11" s="14"/>
      <c r="C11" s="14">
        <v>2.8946677799999998</v>
      </c>
      <c r="D11" s="14">
        <f>Params!B$3+SUM($B$2:B11)</f>
        <v>8</v>
      </c>
      <c r="E11" s="14">
        <f>Params!B$2+SUM($C$2:C11)</f>
        <v>6.1253355599999999</v>
      </c>
      <c r="F11" s="14">
        <f>Params!B$3+SUMIF($B$2:B11,"&gt;0")</f>
        <v>12</v>
      </c>
      <c r="G11" s="14">
        <f>Params!B$2+SUMIF($C$2:C11,"&gt;0")</f>
        <v>7.1253355599999999</v>
      </c>
      <c r="H11" s="14">
        <f>SUMIF($B$2:B11,"&lt;0")</f>
        <v>-4</v>
      </c>
      <c r="I11" s="14">
        <f>SUMIF($C$2:C11,"&lt;0")</f>
        <v>-1</v>
      </c>
    </row>
    <row r="12" spans="1:13" x14ac:dyDescent="0.25">
      <c r="A12" s="13">
        <v>43860</v>
      </c>
      <c r="B12" s="14"/>
      <c r="C12" s="14">
        <v>-4</v>
      </c>
      <c r="D12" s="14">
        <f>Params!B$3+SUM($B$2:B12)</f>
        <v>8</v>
      </c>
      <c r="E12" s="14">
        <f>Params!B$2+SUM($C$2:C12)</f>
        <v>2.1253355599999999</v>
      </c>
      <c r="F12" s="14">
        <f>Params!B$3+SUMIF($B$2:B12,"&gt;0")</f>
        <v>12</v>
      </c>
      <c r="G12" s="14">
        <f>Params!B$2+SUMIF($C$2:C12,"&gt;0")</f>
        <v>7.1253355599999999</v>
      </c>
      <c r="H12" s="14">
        <f>SUMIF($B$2:B12,"&lt;0")</f>
        <v>-4</v>
      </c>
      <c r="I12" s="14">
        <f>SUMIF($C$2:C12,"&lt;0")</f>
        <v>-5</v>
      </c>
    </row>
    <row r="13" spans="1:13" x14ac:dyDescent="0.25">
      <c r="A13" s="13">
        <v>43861</v>
      </c>
      <c r="B13" s="14">
        <v>4</v>
      </c>
      <c r="C13" s="14"/>
      <c r="D13" s="14">
        <f>Params!B$3+SUM($B$2:B13)</f>
        <v>12</v>
      </c>
      <c r="E13" s="14">
        <f>Params!B$2+SUM($C$2:C13)</f>
        <v>2.1253355599999999</v>
      </c>
      <c r="F13" s="14">
        <f>Params!B$3+SUMIF($B$2:B13,"&gt;0")</f>
        <v>16</v>
      </c>
      <c r="G13" s="14">
        <f>Params!B$2+SUMIF($C$2:C13,"&gt;0")</f>
        <v>7.1253355599999999</v>
      </c>
      <c r="H13" s="14">
        <f>SUMIF($B$2:B13,"&lt;0")</f>
        <v>-4</v>
      </c>
      <c r="I13" s="14">
        <f>SUMIF($C$2:C13,"&lt;0")</f>
        <v>-5</v>
      </c>
    </row>
    <row r="14" spans="1:13" x14ac:dyDescent="0.25">
      <c r="A14" s="13">
        <v>43861</v>
      </c>
      <c r="B14" s="14"/>
      <c r="C14" s="14">
        <v>2.8946677799999998</v>
      </c>
      <c r="D14" s="14">
        <f>Params!B$3+SUM($B$2:B14)</f>
        <v>12</v>
      </c>
      <c r="E14" s="14">
        <f>Params!B$2+SUM($C$2:C14)</f>
        <v>5.0200033399999997</v>
      </c>
      <c r="F14" s="14">
        <f>Params!B$3+SUMIF($B$2:B14,"&gt;0")</f>
        <v>16</v>
      </c>
      <c r="G14" s="14">
        <f>Params!B$2+SUMIF($C$2:C14,"&gt;0")</f>
        <v>10.020003340000001</v>
      </c>
      <c r="H14" s="14">
        <f>SUMIF($B$2:B14,"&lt;0")</f>
        <v>-4</v>
      </c>
      <c r="I14" s="14">
        <f>SUMIF($C$2:C14,"&lt;0")</f>
        <v>-5</v>
      </c>
    </row>
    <row r="15" spans="1:13" x14ac:dyDescent="0.25">
      <c r="A15" s="13">
        <v>43876</v>
      </c>
      <c r="B15" s="14">
        <v>4</v>
      </c>
      <c r="C15" s="14"/>
      <c r="D15" s="14">
        <f>Params!B$3+SUM($B$2:B15)</f>
        <v>16</v>
      </c>
      <c r="E15" s="14">
        <f>Params!B$2+SUM($C$2:C15)</f>
        <v>5.0200033399999997</v>
      </c>
      <c r="F15" s="14">
        <f>Params!B$3+SUMIF($B$2:B15,"&gt;0")</f>
        <v>20</v>
      </c>
      <c r="G15" s="14">
        <f>Params!B$2+SUMIF($C$2:C15,"&gt;0")</f>
        <v>10.020003340000001</v>
      </c>
      <c r="H15" s="14">
        <f>SUMIF($B$2:B15,"&lt;0")</f>
        <v>-4</v>
      </c>
      <c r="I15" s="14">
        <f>SUMIF($C$2:C15,"&lt;0")</f>
        <v>-5</v>
      </c>
    </row>
    <row r="16" spans="1:13" x14ac:dyDescent="0.25">
      <c r="A16" s="13">
        <v>43876</v>
      </c>
      <c r="B16" s="14"/>
      <c r="C16" s="14">
        <v>2.8946677799999998</v>
      </c>
      <c r="D16" s="14">
        <f>Params!B$3+SUM($B$2:B16)</f>
        <v>16</v>
      </c>
      <c r="E16" s="14">
        <f>Params!B$2+SUM($C$2:C16)</f>
        <v>7.9146711199999995</v>
      </c>
      <c r="F16" s="14">
        <f>Params!B$3+SUMIF($B$2:B16,"&gt;0")</f>
        <v>20</v>
      </c>
      <c r="G16" s="14">
        <f>Params!B$2+SUMIF($C$2:C16,"&gt;0")</f>
        <v>12.91467112</v>
      </c>
      <c r="H16" s="14">
        <f>SUMIF($B$2:B16,"&lt;0")</f>
        <v>-4</v>
      </c>
      <c r="I16" s="14">
        <f>SUMIF($C$2:C16,"&lt;0")</f>
        <v>-5</v>
      </c>
    </row>
    <row r="17" spans="1:9" x14ac:dyDescent="0.25">
      <c r="A17" s="13">
        <v>43882</v>
      </c>
      <c r="B17" s="14">
        <v>-4</v>
      </c>
      <c r="C17" s="14"/>
      <c r="D17" s="14">
        <f>Params!B$3+SUM($B$2:B17)</f>
        <v>12</v>
      </c>
      <c r="E17" s="14">
        <f>Params!B$2+SUM($C$2:C17)</f>
        <v>7.9146711199999995</v>
      </c>
      <c r="F17" s="14">
        <f>Params!B$3+SUMIF($B$2:B17,"&gt;0")</f>
        <v>20</v>
      </c>
      <c r="G17" s="14">
        <f>Params!B$2+SUMIF($C$2:C17,"&gt;0")</f>
        <v>12.91467112</v>
      </c>
      <c r="H17" s="14">
        <f>SUMIF($B$2:B17,"&lt;0")</f>
        <v>-8</v>
      </c>
      <c r="I17" s="14">
        <f>SUMIF($C$2:C17,"&lt;0")</f>
        <v>-5</v>
      </c>
    </row>
    <row r="18" spans="1:9" x14ac:dyDescent="0.25">
      <c r="A18" s="13">
        <v>43890</v>
      </c>
      <c r="B18" s="14">
        <v>4</v>
      </c>
      <c r="C18" s="14"/>
      <c r="D18" s="14">
        <f>Params!B$3+SUM($B$2:B18)</f>
        <v>16</v>
      </c>
      <c r="E18" s="14">
        <f>Params!B$2+SUM($C$2:C18)</f>
        <v>7.9146711199999995</v>
      </c>
      <c r="F18" s="14">
        <f>Params!B$3+SUMIF($B$2:B18,"&gt;0")</f>
        <v>24</v>
      </c>
      <c r="G18" s="14">
        <f>Params!B$2+SUMIF($C$2:C18,"&gt;0")</f>
        <v>12.91467112</v>
      </c>
      <c r="H18" s="14">
        <f>SUMIF($B$2:B18,"&lt;0")</f>
        <v>-8</v>
      </c>
      <c r="I18" s="14">
        <f>SUMIF($C$2:C18,"&lt;0")</f>
        <v>-5</v>
      </c>
    </row>
    <row r="19" spans="1:9" x14ac:dyDescent="0.25">
      <c r="A19" s="13">
        <v>43890</v>
      </c>
      <c r="B19" s="14"/>
      <c r="C19" s="14">
        <v>2.8946677799999998</v>
      </c>
      <c r="D19" s="14">
        <f>Params!B$3+SUM($B$2:B19)</f>
        <v>16</v>
      </c>
      <c r="E19" s="14">
        <f>Params!B$2+SUM($C$2:C19)</f>
        <v>10.809338899999998</v>
      </c>
      <c r="F19" s="14">
        <f>Params!B$3+SUMIF($B$2:B19,"&gt;0")</f>
        <v>24</v>
      </c>
      <c r="G19" s="14">
        <f>Params!B$2+SUMIF($C$2:C19,"&gt;0")</f>
        <v>15.809338899999998</v>
      </c>
      <c r="H19" s="14">
        <f>SUMIF($B$2:B19,"&lt;0")</f>
        <v>-8</v>
      </c>
      <c r="I19" s="14">
        <f>SUMIF($C$2:C19,"&lt;0")</f>
        <v>-5</v>
      </c>
    </row>
    <row r="20" spans="1:9" x14ac:dyDescent="0.25">
      <c r="A20" s="13">
        <v>43905</v>
      </c>
      <c r="B20" s="14">
        <v>4</v>
      </c>
      <c r="C20" s="14"/>
      <c r="D20" s="14">
        <f>Params!B$3+SUM($B$2:B20)</f>
        <v>20</v>
      </c>
      <c r="E20" s="14">
        <f>Params!B$2+SUM($C$2:C20)</f>
        <v>10.809338899999998</v>
      </c>
      <c r="F20" s="14">
        <f>Params!B$3+SUMIF($B$2:B20,"&gt;0")</f>
        <v>28</v>
      </c>
      <c r="G20" s="14">
        <f>Params!B$2+SUMIF($C$2:C20,"&gt;0")</f>
        <v>15.809338899999998</v>
      </c>
      <c r="H20" s="14">
        <f>SUMIF($B$2:B20,"&lt;0")</f>
        <v>-8</v>
      </c>
      <c r="I20" s="14">
        <f>SUMIF($C$2:C20,"&lt;0")</f>
        <v>-5</v>
      </c>
    </row>
    <row r="21" spans="1:9" x14ac:dyDescent="0.25">
      <c r="A21" s="13">
        <v>43905</v>
      </c>
      <c r="B21" s="14"/>
      <c r="C21" s="14">
        <v>2.8946677799999998</v>
      </c>
      <c r="D21" s="14">
        <f>Params!B$3+SUM($B$2:B21)</f>
        <v>20</v>
      </c>
      <c r="E21" s="14">
        <f>Params!B$2+SUM($C$2:C21)</f>
        <v>13.704006679999997</v>
      </c>
      <c r="F21" s="14">
        <f>Params!B$3+SUMIF($B$2:B21,"&gt;0")</f>
        <v>28</v>
      </c>
      <c r="G21" s="14">
        <f>Params!B$2+SUMIF($C$2:C21,"&gt;0")</f>
        <v>18.704006679999996</v>
      </c>
      <c r="H21" s="14">
        <f>SUMIF($B$2:B21,"&lt;0")</f>
        <v>-8</v>
      </c>
      <c r="I21" s="14">
        <f>SUMIF($C$2:C21,"&lt;0")</f>
        <v>-5</v>
      </c>
    </row>
    <row r="22" spans="1:9" x14ac:dyDescent="0.25">
      <c r="A22" s="13">
        <v>43921</v>
      </c>
      <c r="B22" s="14">
        <v>4</v>
      </c>
      <c r="C22" s="14"/>
      <c r="D22" s="14">
        <f>Params!B$3+SUM($B$2:B22)</f>
        <v>24</v>
      </c>
      <c r="E22" s="14">
        <f>Params!B$2+SUM($C$2:C22)</f>
        <v>13.704006679999997</v>
      </c>
      <c r="F22" s="14">
        <f>Params!B$3+SUMIF($B$2:B22,"&gt;0")</f>
        <v>32</v>
      </c>
      <c r="G22" s="14">
        <f>Params!B$2+SUMIF($C$2:C22,"&gt;0")</f>
        <v>18.704006679999996</v>
      </c>
      <c r="H22" s="14">
        <f>SUMIF($B$2:B22,"&lt;0")</f>
        <v>-8</v>
      </c>
      <c r="I22" s="14">
        <f>SUMIF($C$2:C22,"&lt;0")</f>
        <v>-5</v>
      </c>
    </row>
    <row r="23" spans="1:9" x14ac:dyDescent="0.25">
      <c r="A23" s="13">
        <v>43921</v>
      </c>
      <c r="B23" s="14"/>
      <c r="C23" s="14">
        <v>2.8946677799999998</v>
      </c>
      <c r="D23" s="14">
        <f>Params!B$3+SUM($B$2:B23)</f>
        <v>24</v>
      </c>
      <c r="E23" s="14">
        <f>Params!B$2+SUM($C$2:C23)</f>
        <v>16.598674459999994</v>
      </c>
      <c r="F23" s="14">
        <f>Params!B$3+SUMIF($B$2:B23,"&gt;0")</f>
        <v>32</v>
      </c>
      <c r="G23" s="14">
        <f>Params!B$2+SUMIF($C$2:C23,"&gt;0")</f>
        <v>21.598674459999994</v>
      </c>
      <c r="H23" s="14">
        <f>SUMIF($B$2:B23,"&lt;0")</f>
        <v>-8</v>
      </c>
      <c r="I23" s="14">
        <f>SUMIF($C$2:C23,"&lt;0")</f>
        <v>-5</v>
      </c>
    </row>
    <row r="24" spans="1:9" x14ac:dyDescent="0.25">
      <c r="A24" s="13">
        <v>43936</v>
      </c>
      <c r="B24" s="14">
        <v>4</v>
      </c>
      <c r="C24" s="14"/>
      <c r="D24" s="14">
        <f>Params!B$3+SUM($B$2:B24)</f>
        <v>28</v>
      </c>
      <c r="E24" s="14">
        <f>Params!B$2+SUM($C$2:C24)</f>
        <v>16.598674459999994</v>
      </c>
      <c r="F24" s="14">
        <f>Params!B$3+SUMIF($B$2:B24,"&gt;0")</f>
        <v>36</v>
      </c>
      <c r="G24" s="14">
        <f>Params!B$2+SUMIF($C$2:C24,"&gt;0")</f>
        <v>21.598674459999994</v>
      </c>
      <c r="H24" s="14">
        <f>SUMIF($B$2:B24,"&lt;0")</f>
        <v>-8</v>
      </c>
      <c r="I24" s="14">
        <f>SUMIF($C$2:C24,"&lt;0")</f>
        <v>-5</v>
      </c>
    </row>
    <row r="25" spans="1:9" x14ac:dyDescent="0.25">
      <c r="A25" s="13">
        <v>43936</v>
      </c>
      <c r="B25" s="14"/>
      <c r="C25" s="14">
        <v>2.8946677799999998</v>
      </c>
      <c r="D25" s="14">
        <f>Params!B$3+SUM($B$2:B25)</f>
        <v>28</v>
      </c>
      <c r="E25" s="14">
        <f>Params!B$2+SUM($C$2:C25)</f>
        <v>19.493342239999993</v>
      </c>
      <c r="F25" s="14">
        <f>Params!B$3+SUMIF($B$2:B25,"&gt;0")</f>
        <v>36</v>
      </c>
      <c r="G25" s="14">
        <f>Params!B$2+SUMIF($C$2:C25,"&gt;0")</f>
        <v>24.493342239999993</v>
      </c>
      <c r="H25" s="14">
        <f>SUMIF($B$2:B25,"&lt;0")</f>
        <v>-8</v>
      </c>
      <c r="I25" s="14">
        <f>SUMIF($C$2:C25,"&lt;0")</f>
        <v>-5</v>
      </c>
    </row>
    <row r="26" spans="1:9" x14ac:dyDescent="0.25">
      <c r="A26" s="13">
        <v>43951</v>
      </c>
      <c r="B26" s="14">
        <v>4</v>
      </c>
      <c r="C26" s="14"/>
      <c r="D26" s="14">
        <f>Params!B$3+SUM($B$2:B26)</f>
        <v>32</v>
      </c>
      <c r="E26" s="14">
        <f>Params!B$2+SUM($C$2:C26)</f>
        <v>19.493342239999993</v>
      </c>
      <c r="F26" s="14">
        <f>Params!B$3+SUMIF($B$2:B26,"&gt;0")</f>
        <v>40</v>
      </c>
      <c r="G26" s="14">
        <f>Params!B$2+SUMIF($C$2:C26,"&gt;0")</f>
        <v>24.493342239999993</v>
      </c>
      <c r="H26" s="14">
        <f>SUMIF($B$2:B26,"&lt;0")</f>
        <v>-8</v>
      </c>
      <c r="I26" s="14">
        <f>SUMIF($C$2:C26,"&lt;0")</f>
        <v>-5</v>
      </c>
    </row>
    <row r="27" spans="1:9" x14ac:dyDescent="0.25">
      <c r="A27" s="13">
        <v>43951</v>
      </c>
      <c r="B27" s="14"/>
      <c r="C27" s="14">
        <v>2.8946677799999998</v>
      </c>
      <c r="D27" s="14">
        <f>Params!B$3+SUM($B$2:B27)</f>
        <v>32</v>
      </c>
      <c r="E27" s="14">
        <f>Params!B$2+SUM($C$2:C27)</f>
        <v>22.388010019999992</v>
      </c>
      <c r="F27" s="14">
        <f>Params!B$3+SUMIF($B$2:B27,"&gt;0")</f>
        <v>40</v>
      </c>
      <c r="G27" s="14">
        <f>Params!B$2+SUMIF($C$2:C27,"&gt;0")</f>
        <v>27.388010019999992</v>
      </c>
      <c r="H27" s="14">
        <f>SUMIF($B$2:B27,"&lt;0")</f>
        <v>-8</v>
      </c>
      <c r="I27" s="14">
        <f>SUMIF($C$2:C27,"&lt;0")</f>
        <v>-5</v>
      </c>
    </row>
    <row r="28" spans="1:9" x14ac:dyDescent="0.25">
      <c r="A28" s="13">
        <v>43966</v>
      </c>
      <c r="B28" s="14">
        <v>4</v>
      </c>
      <c r="C28" s="14"/>
      <c r="D28" s="14">
        <f>Params!B$3+SUM($B$2:B28)</f>
        <v>36</v>
      </c>
      <c r="E28" s="14">
        <f>Params!B$2+SUM($C$2:C28)</f>
        <v>22.388010019999992</v>
      </c>
      <c r="F28" s="14">
        <f>Params!B$3+SUMIF($B$2:B28,"&gt;0")</f>
        <v>44</v>
      </c>
      <c r="G28" s="14">
        <f>Params!B$2+SUMIF($C$2:C28,"&gt;0")</f>
        <v>27.388010019999992</v>
      </c>
      <c r="H28" s="14">
        <f>SUMIF($B$2:B28,"&lt;0")</f>
        <v>-8</v>
      </c>
      <c r="I28" s="14">
        <f>SUMIF($C$2:C28,"&lt;0")</f>
        <v>-5</v>
      </c>
    </row>
    <row r="29" spans="1:9" x14ac:dyDescent="0.25">
      <c r="A29" s="13">
        <v>43966</v>
      </c>
      <c r="B29" s="14"/>
      <c r="C29" s="14">
        <v>2.8946677799999998</v>
      </c>
      <c r="D29" s="14">
        <f>Params!B$3+SUM($B$2:B29)</f>
        <v>36</v>
      </c>
      <c r="E29" s="14">
        <f>Params!B$2+SUM($C$2:C29)</f>
        <v>25.282677799999991</v>
      </c>
      <c r="F29" s="14">
        <f>Params!B$3+SUMIF($B$2:B29,"&gt;0")</f>
        <v>44</v>
      </c>
      <c r="G29" s="14">
        <f>Params!B$2+SUMIF($C$2:C29,"&gt;0")</f>
        <v>30.282677799999991</v>
      </c>
      <c r="H29" s="14">
        <f>SUMIF($B$2:B29,"&lt;0")</f>
        <v>-8</v>
      </c>
      <c r="I29" s="14">
        <f>SUMIF($C$2:C29,"&lt;0")</f>
        <v>-5</v>
      </c>
    </row>
    <row r="30" spans="1:9" x14ac:dyDescent="0.25">
      <c r="A30" s="13">
        <v>43973</v>
      </c>
      <c r="B30" s="14">
        <v>-4</v>
      </c>
      <c r="C30" s="14"/>
      <c r="D30" s="14">
        <f>Params!B$3+SUM($B$2:B30)</f>
        <v>32</v>
      </c>
      <c r="E30" s="14">
        <f>Params!B$2+SUM($C$2:C30)</f>
        <v>25.282677799999991</v>
      </c>
      <c r="F30" s="14">
        <f>Params!B$3+SUMIF($B$2:B30,"&gt;0")</f>
        <v>44</v>
      </c>
      <c r="G30" s="14">
        <f>Params!B$2+SUMIF($C$2:C30,"&gt;0")</f>
        <v>30.282677799999991</v>
      </c>
      <c r="H30" s="14">
        <f>SUMIF($B$2:B30,"&lt;0")</f>
        <v>-12</v>
      </c>
      <c r="I30" s="14">
        <f>SUMIF($C$2:C30,"&lt;0")</f>
        <v>-5</v>
      </c>
    </row>
    <row r="31" spans="1:9" x14ac:dyDescent="0.25">
      <c r="A31" s="13">
        <v>43982</v>
      </c>
      <c r="B31" s="14">
        <v>4</v>
      </c>
      <c r="C31" s="14"/>
      <c r="D31" s="14">
        <f>Params!B$3+SUM($B$2:B31)</f>
        <v>36</v>
      </c>
      <c r="E31" s="14">
        <f>Params!B$2+SUM($C$2:C31)</f>
        <v>25.282677799999991</v>
      </c>
      <c r="F31" s="14">
        <f>Params!B$3+SUMIF($B$2:B31,"&gt;0")</f>
        <v>48</v>
      </c>
      <c r="G31" s="14">
        <f>Params!B$2+SUMIF($C$2:C31,"&gt;0")</f>
        <v>30.282677799999991</v>
      </c>
      <c r="H31" s="14">
        <f>SUMIF($B$2:B31,"&lt;0")</f>
        <v>-12</v>
      </c>
      <c r="I31" s="14">
        <f>SUMIF($C$2:C31,"&lt;0")</f>
        <v>-5</v>
      </c>
    </row>
    <row r="32" spans="1:9" x14ac:dyDescent="0.25">
      <c r="A32" s="13">
        <v>43982</v>
      </c>
      <c r="B32" s="14"/>
      <c r="C32" s="14">
        <v>2.8946677799999998</v>
      </c>
      <c r="D32" s="14">
        <f>Params!B$3+SUM($B$2:B32)</f>
        <v>36</v>
      </c>
      <c r="E32" s="14">
        <f>Params!B$2+SUM($C$2:C32)</f>
        <v>28.17734557999999</v>
      </c>
      <c r="F32" s="14">
        <f>Params!B$3+SUMIF($B$2:B32,"&gt;0")</f>
        <v>48</v>
      </c>
      <c r="G32" s="14">
        <f>Params!B$2+SUMIF($C$2:C32,"&gt;0")</f>
        <v>33.177345579999994</v>
      </c>
      <c r="H32" s="14">
        <f>SUMIF($B$2:B32,"&lt;0")</f>
        <v>-12</v>
      </c>
      <c r="I32" s="14">
        <f>SUMIF($C$2:C32,"&lt;0")</f>
        <v>-5</v>
      </c>
    </row>
    <row r="33" spans="1:9" x14ac:dyDescent="0.25">
      <c r="A33" s="13">
        <v>43997</v>
      </c>
      <c r="B33" s="14">
        <v>4</v>
      </c>
      <c r="C33" s="14"/>
      <c r="D33" s="14">
        <f>Params!B$3+SUM($B$2:B33)</f>
        <v>40</v>
      </c>
      <c r="E33" s="14">
        <f>Params!B$2+SUM($C$2:C33)</f>
        <v>28.17734557999999</v>
      </c>
      <c r="F33" s="14">
        <f>Params!B$3+SUMIF($B$2:B33,"&gt;0")</f>
        <v>52</v>
      </c>
      <c r="G33" s="14">
        <f>Params!B$2+SUMIF($C$2:C33,"&gt;0")</f>
        <v>33.177345579999994</v>
      </c>
      <c r="H33" s="14">
        <f>SUMIF($B$2:B33,"&lt;0")</f>
        <v>-12</v>
      </c>
      <c r="I33" s="14">
        <f>SUMIF($C$2:C33,"&lt;0")</f>
        <v>-5</v>
      </c>
    </row>
    <row r="34" spans="1:9" x14ac:dyDescent="0.25">
      <c r="A34" s="13">
        <v>43997</v>
      </c>
      <c r="B34" s="14"/>
      <c r="C34" s="14">
        <v>2.8946677799999998</v>
      </c>
      <c r="D34" s="14">
        <f>Params!B$3+SUM($B$2:B34)</f>
        <v>40</v>
      </c>
      <c r="E34" s="14">
        <f>Params!B$2+SUM($C$2:C34)</f>
        <v>31.072013359999989</v>
      </c>
      <c r="F34" s="14">
        <f>Params!B$3+SUMIF($B$2:B34,"&gt;0")</f>
        <v>52</v>
      </c>
      <c r="G34" s="14">
        <f>Params!B$2+SUMIF($C$2:C34,"&gt;0")</f>
        <v>36.072013359999993</v>
      </c>
      <c r="H34" s="14">
        <f>SUMIF($B$2:B34,"&lt;0")</f>
        <v>-12</v>
      </c>
      <c r="I34" s="14">
        <f>SUMIF($C$2:C34,"&lt;0")</f>
        <v>-5</v>
      </c>
    </row>
    <row r="35" spans="1:9" x14ac:dyDescent="0.25">
      <c r="A35" s="13">
        <v>44012</v>
      </c>
      <c r="B35" s="14">
        <v>4</v>
      </c>
      <c r="C35" s="14"/>
      <c r="D35" s="14">
        <f>Params!B$3+SUM($B$2:B35)</f>
        <v>44</v>
      </c>
      <c r="E35" s="14">
        <f>Params!B$2+SUM($C$2:C35)</f>
        <v>31.072013359999989</v>
      </c>
      <c r="F35" s="14">
        <f>Params!B$3+SUMIF($B$2:B35,"&gt;0")</f>
        <v>56</v>
      </c>
      <c r="G35" s="14">
        <f>Params!B$2+SUMIF($C$2:C35,"&gt;0")</f>
        <v>36.072013359999993</v>
      </c>
      <c r="H35" s="14">
        <f>SUMIF($B$2:B35,"&lt;0")</f>
        <v>-12</v>
      </c>
      <c r="I35" s="14">
        <f>SUMIF($C$2:C35,"&lt;0")</f>
        <v>-5</v>
      </c>
    </row>
    <row r="36" spans="1:9" x14ac:dyDescent="0.25">
      <c r="A36" s="13">
        <v>44012</v>
      </c>
      <c r="B36" s="14"/>
      <c r="C36" s="14">
        <v>2.8946677799999998</v>
      </c>
      <c r="D36" s="14">
        <f>Params!B$3+SUM($B$2:B36)</f>
        <v>44</v>
      </c>
      <c r="E36" s="14">
        <f>Params!B$2+SUM($C$2:C36)</f>
        <v>33.966681139999992</v>
      </c>
      <c r="F36" s="14">
        <f>Params!B$3+SUMIF($B$2:B36,"&gt;0")</f>
        <v>56</v>
      </c>
      <c r="G36" s="14">
        <f>Params!B$2+SUMIF($C$2:C36,"&gt;0")</f>
        <v>38.966681139999992</v>
      </c>
      <c r="H36" s="14">
        <f>SUMIF($B$2:B36,"&lt;0")</f>
        <v>-12</v>
      </c>
      <c r="I36" s="14">
        <f>SUMIF($C$2:C36,"&lt;0")</f>
        <v>-5</v>
      </c>
    </row>
    <row r="37" spans="1:9" x14ac:dyDescent="0.25">
      <c r="A37" s="13">
        <v>44025</v>
      </c>
      <c r="B37" s="14"/>
      <c r="C37" s="14">
        <v>-8</v>
      </c>
      <c r="D37" s="14">
        <f>Params!B$3+SUM($B$2:B37)</f>
        <v>44</v>
      </c>
      <c r="E37" s="14">
        <f>Params!B$2+SUM($C$2:C37)</f>
        <v>25.966681139999992</v>
      </c>
      <c r="F37" s="14">
        <f>Params!B$3+SUMIF($B$2:B37,"&gt;0")</f>
        <v>56</v>
      </c>
      <c r="G37" s="14">
        <f>Params!B$2+SUMIF($C$2:C37,"&gt;0")</f>
        <v>38.966681139999992</v>
      </c>
      <c r="H37" s="14">
        <f>SUMIF($B$2:B37,"&lt;0")</f>
        <v>-12</v>
      </c>
      <c r="I37" s="14">
        <f>SUMIF($C$2:C37,"&lt;0")</f>
        <v>-13</v>
      </c>
    </row>
    <row r="38" spans="1:9" x14ac:dyDescent="0.25">
      <c r="A38" s="13">
        <v>44026</v>
      </c>
      <c r="B38" s="14"/>
      <c r="C38" s="14">
        <v>-8</v>
      </c>
      <c r="D38" s="14">
        <f>Params!B$3+SUM($B$2:B38)</f>
        <v>44</v>
      </c>
      <c r="E38" s="14">
        <f>Params!B$2+SUM($C$2:C38)</f>
        <v>17.966681139999992</v>
      </c>
      <c r="F38" s="14">
        <f>Params!B$3+SUMIF($B$2:B38,"&gt;0")</f>
        <v>56</v>
      </c>
      <c r="G38" s="14">
        <f>Params!B$2+SUMIF($C$2:C38,"&gt;0")</f>
        <v>38.966681139999992</v>
      </c>
      <c r="H38" s="14">
        <f>SUMIF($B$2:B38,"&lt;0")</f>
        <v>-12</v>
      </c>
      <c r="I38" s="14">
        <f>SUMIF($C$2:C38,"&lt;0")</f>
        <v>-21</v>
      </c>
    </row>
    <row r="39" spans="1:9" x14ac:dyDescent="0.25">
      <c r="A39" s="13">
        <v>44027</v>
      </c>
      <c r="B39" s="14"/>
      <c r="C39" s="14">
        <v>-8</v>
      </c>
      <c r="D39" s="14">
        <f>Params!B$3+SUM($B$2:B39)</f>
        <v>44</v>
      </c>
      <c r="E39" s="14">
        <f>Params!B$2+SUM($C$2:C39)</f>
        <v>9.9666811399999933</v>
      </c>
      <c r="F39" s="14">
        <f>Params!B$3+SUMIF($B$2:B39,"&gt;0")</f>
        <v>56</v>
      </c>
      <c r="G39" s="14">
        <f>Params!B$2+SUMIF($C$2:C39,"&gt;0")</f>
        <v>38.966681139999992</v>
      </c>
      <c r="H39" s="14">
        <f>SUMIF($B$2:B39,"&lt;0")</f>
        <v>-12</v>
      </c>
      <c r="I39" s="14">
        <f>SUMIF($C$2:C39,"&lt;0")</f>
        <v>-29</v>
      </c>
    </row>
    <row r="40" spans="1:9" x14ac:dyDescent="0.25">
      <c r="A40" s="13">
        <v>44027</v>
      </c>
      <c r="B40" s="14">
        <v>4</v>
      </c>
      <c r="C40" s="14"/>
      <c r="D40" s="14">
        <f>Params!B$3+SUM($B$2:B40)</f>
        <v>48</v>
      </c>
      <c r="E40" s="14">
        <f>Params!B$2+SUM($C$2:C40)</f>
        <v>9.9666811399999933</v>
      </c>
      <c r="F40" s="14">
        <f>Params!B$3+SUMIF($B$2:B40,"&gt;0")</f>
        <v>60</v>
      </c>
      <c r="G40" s="14">
        <f>Params!B$2+SUMIF($C$2:C40,"&gt;0")</f>
        <v>38.966681139999992</v>
      </c>
      <c r="H40" s="14">
        <f>SUMIF($B$2:B40,"&lt;0")</f>
        <v>-12</v>
      </c>
      <c r="I40" s="14">
        <f>SUMIF($C$2:C40,"&lt;0")</f>
        <v>-29</v>
      </c>
    </row>
    <row r="41" spans="1:9" x14ac:dyDescent="0.25">
      <c r="A41" s="13">
        <v>44027</v>
      </c>
      <c r="B41" s="14"/>
      <c r="C41" s="14">
        <v>2.8946677799999998</v>
      </c>
      <c r="D41" s="14">
        <f>Params!B$3+SUM($B$2:B41)</f>
        <v>48</v>
      </c>
      <c r="E41" s="14">
        <f>Params!B$2+SUM($C$2:C41)</f>
        <v>12.861348919999992</v>
      </c>
      <c r="F41" s="14">
        <f>Params!B$3+SUMIF($B$2:B41,"&gt;0")</f>
        <v>60</v>
      </c>
      <c r="G41" s="14">
        <f>Params!B$2+SUMIF($C$2:C41,"&gt;0")</f>
        <v>41.86134891999999</v>
      </c>
      <c r="H41" s="14">
        <f>SUMIF($B$2:B41,"&lt;0")</f>
        <v>-12</v>
      </c>
      <c r="I41" s="14">
        <f>SUMIF($C$2:C41,"&lt;0")</f>
        <v>-29</v>
      </c>
    </row>
    <row r="42" spans="1:9" x14ac:dyDescent="0.25">
      <c r="A42" s="13">
        <v>44028</v>
      </c>
      <c r="B42" s="14"/>
      <c r="C42" s="14">
        <v>-8</v>
      </c>
      <c r="D42" s="14">
        <f>Params!B$3+SUM($B$2:B42)</f>
        <v>48</v>
      </c>
      <c r="E42" s="14">
        <f>Params!B$2+SUM($C$2:C42)</f>
        <v>4.8613489199999922</v>
      </c>
      <c r="F42" s="14">
        <f>Params!B$3+SUMIF($B$2:B42,"&gt;0")</f>
        <v>60</v>
      </c>
      <c r="G42" s="14">
        <f>Params!B$2+SUMIF($C$2:C42,"&gt;0")</f>
        <v>41.86134891999999</v>
      </c>
      <c r="H42" s="14">
        <f>SUMIF($B$2:B42,"&lt;0")</f>
        <v>-12</v>
      </c>
      <c r="I42" s="14">
        <f>SUMIF($C$2:C42,"&lt;0")</f>
        <v>-37</v>
      </c>
    </row>
    <row r="43" spans="1:9" x14ac:dyDescent="0.25">
      <c r="A43" s="13">
        <v>44029</v>
      </c>
      <c r="B43" s="14">
        <v>-8</v>
      </c>
      <c r="C43" s="14"/>
      <c r="D43" s="14">
        <f>Params!B$3+SUM($B$2:B43)</f>
        <v>40</v>
      </c>
      <c r="E43" s="14">
        <f>Params!B$2+SUM($C$2:C43)</f>
        <v>4.8613489199999922</v>
      </c>
      <c r="F43" s="14">
        <f>Params!B$3+SUMIF($B$2:B43,"&gt;0")</f>
        <v>60</v>
      </c>
      <c r="G43" s="14">
        <f>Params!B$2+SUMIF($C$2:C43,"&gt;0")</f>
        <v>41.86134891999999</v>
      </c>
      <c r="H43" s="14">
        <f>SUMIF($B$2:B43,"&lt;0")</f>
        <v>-20</v>
      </c>
      <c r="I43" s="14">
        <f>SUMIF($C$2:C43,"&lt;0")</f>
        <v>-37</v>
      </c>
    </row>
    <row r="44" spans="1:9" x14ac:dyDescent="0.25">
      <c r="A44" s="13">
        <v>44032</v>
      </c>
      <c r="B44" s="14">
        <v>-8</v>
      </c>
      <c r="C44" s="14"/>
      <c r="D44" s="14">
        <f>Params!B$3+SUM($B$2:B44)</f>
        <v>32</v>
      </c>
      <c r="E44" s="14">
        <f>Params!B$2+SUM($C$2:C44)</f>
        <v>4.8613489199999922</v>
      </c>
      <c r="F44" s="14">
        <f>Params!B$3+SUMIF($B$2:B44,"&gt;0")</f>
        <v>60</v>
      </c>
      <c r="G44" s="14">
        <f>Params!B$2+SUMIF($C$2:C44,"&gt;0")</f>
        <v>41.86134891999999</v>
      </c>
      <c r="H44" s="14">
        <f>SUMIF($B$2:B44,"&lt;0")</f>
        <v>-28</v>
      </c>
      <c r="I44" s="14">
        <f>SUMIF($C$2:C44,"&lt;0")</f>
        <v>-37</v>
      </c>
    </row>
    <row r="45" spans="1:9" x14ac:dyDescent="0.25">
      <c r="A45" s="13">
        <v>44033</v>
      </c>
      <c r="B45" s="14">
        <v>-8</v>
      </c>
      <c r="C45" s="14"/>
      <c r="D45" s="14">
        <f>Params!B$3+SUM($B$2:B45)</f>
        <v>24</v>
      </c>
      <c r="E45" s="14">
        <f>Params!B$2+SUM($C$2:C45)</f>
        <v>4.8613489199999922</v>
      </c>
      <c r="F45" s="14">
        <f>Params!B$3+SUMIF($B$2:B45,"&gt;0")</f>
        <v>60</v>
      </c>
      <c r="G45" s="14">
        <f>Params!B$2+SUMIF($C$2:C45,"&gt;0")</f>
        <v>41.86134891999999</v>
      </c>
      <c r="H45" s="14">
        <f>SUMIF($B$2:B45,"&lt;0")</f>
        <v>-36</v>
      </c>
      <c r="I45" s="14">
        <f>SUMIF($C$2:C45,"&lt;0")</f>
        <v>-37</v>
      </c>
    </row>
    <row r="46" spans="1:9" x14ac:dyDescent="0.25">
      <c r="A46" s="13">
        <v>44034</v>
      </c>
      <c r="B46" s="14">
        <v>-8</v>
      </c>
      <c r="C46" s="14"/>
      <c r="D46" s="14">
        <f>Params!B$3+SUM($B$2:B46)</f>
        <v>16</v>
      </c>
      <c r="E46" s="14">
        <f>Params!B$2+SUM($C$2:C46)</f>
        <v>4.8613489199999922</v>
      </c>
      <c r="F46" s="14">
        <f>Params!B$3+SUMIF($B$2:B46,"&gt;0")</f>
        <v>60</v>
      </c>
      <c r="G46" s="14">
        <f>Params!B$2+SUMIF($C$2:C46,"&gt;0")</f>
        <v>41.86134891999999</v>
      </c>
      <c r="H46" s="14">
        <f>SUMIF($B$2:B46,"&lt;0")</f>
        <v>-44</v>
      </c>
      <c r="I46" s="14">
        <f>SUMIF($C$2:C46,"&lt;0")</f>
        <v>-37</v>
      </c>
    </row>
    <row r="47" spans="1:9" x14ac:dyDescent="0.25">
      <c r="A47" s="13">
        <v>44035</v>
      </c>
      <c r="B47" s="14">
        <v>-8</v>
      </c>
      <c r="C47" s="14"/>
      <c r="D47" s="14">
        <f>Params!B$3+SUM($B$2:B47)</f>
        <v>8</v>
      </c>
      <c r="E47" s="14">
        <f>Params!B$2+SUM($C$2:C47)</f>
        <v>4.8613489199999922</v>
      </c>
      <c r="F47" s="14">
        <f>Params!B$3+SUMIF($B$2:B47,"&gt;0")</f>
        <v>60</v>
      </c>
      <c r="G47" s="14">
        <f>Params!B$2+SUMIF($C$2:C47,"&gt;0")</f>
        <v>41.86134891999999</v>
      </c>
      <c r="H47" s="14">
        <f>SUMIF($B$2:B47,"&lt;0")</f>
        <v>-52</v>
      </c>
      <c r="I47" s="14">
        <f>SUMIF($C$2:C47,"&lt;0")</f>
        <v>-37</v>
      </c>
    </row>
    <row r="48" spans="1:9" x14ac:dyDescent="0.25">
      <c r="A48" s="13">
        <v>44036</v>
      </c>
      <c r="B48" s="14">
        <v>-8</v>
      </c>
      <c r="C48" s="14"/>
      <c r="D48" s="14">
        <f>Params!B$3+SUM($B$2:B48)</f>
        <v>0</v>
      </c>
      <c r="E48" s="14">
        <f>Params!B$2+SUM($C$2:C48)</f>
        <v>4.8613489199999922</v>
      </c>
      <c r="F48" s="14">
        <f>Params!B$3+SUMIF($B$2:B48,"&gt;0")</f>
        <v>60</v>
      </c>
      <c r="G48" s="14">
        <f>Params!B$2+SUMIF($C$2:C48,"&gt;0")</f>
        <v>41.86134891999999</v>
      </c>
      <c r="H48" s="14">
        <f>SUMIF($B$2:B48,"&lt;0")</f>
        <v>-60</v>
      </c>
      <c r="I48" s="14">
        <f>SUMIF($C$2:C48,"&lt;0")</f>
        <v>-37</v>
      </c>
    </row>
    <row r="49" spans="1:9" x14ac:dyDescent="0.25">
      <c r="A49" s="13">
        <v>44043</v>
      </c>
      <c r="B49" s="14">
        <v>4</v>
      </c>
      <c r="C49" s="14"/>
      <c r="D49" s="14">
        <f>Params!B$3+SUM($B$2:B49)</f>
        <v>4</v>
      </c>
      <c r="E49" s="14">
        <f>Params!B$2+SUM($C$2:C49)</f>
        <v>4.8613489199999922</v>
      </c>
      <c r="F49" s="14">
        <f>Params!B$3+SUMIF($B$2:B49,"&gt;0")</f>
        <v>64</v>
      </c>
      <c r="G49" s="14">
        <f>Params!B$2+SUMIF($C$2:C49,"&gt;0")</f>
        <v>41.86134891999999</v>
      </c>
      <c r="H49" s="14">
        <f>SUMIF($B$2:B49,"&lt;0")</f>
        <v>-60</v>
      </c>
      <c r="I49" s="14">
        <f>SUMIF($C$2:C49,"&lt;0")</f>
        <v>-37</v>
      </c>
    </row>
    <row r="50" spans="1:9" x14ac:dyDescent="0.25">
      <c r="A50" s="13">
        <v>44043</v>
      </c>
      <c r="B50" s="14"/>
      <c r="C50" s="14">
        <v>2.8946677799999998</v>
      </c>
      <c r="D50" s="14">
        <f>Params!B$3+SUM($B$2:B50)</f>
        <v>4</v>
      </c>
      <c r="E50" s="14">
        <f>Params!B$2+SUM($C$2:C50)</f>
        <v>7.756016699999992</v>
      </c>
      <c r="F50" s="14">
        <f>Params!B$3+SUMIF($B$2:B50,"&gt;0")</f>
        <v>64</v>
      </c>
      <c r="G50" s="14">
        <f>Params!B$2+SUMIF($C$2:C50,"&gt;0")</f>
        <v>44.756016699999989</v>
      </c>
      <c r="H50" s="14">
        <f>SUMIF($B$2:B50,"&lt;0")</f>
        <v>-60</v>
      </c>
      <c r="I50" s="14">
        <f>SUMIF($C$2:C50,"&lt;0")</f>
        <v>-37</v>
      </c>
    </row>
    <row r="51" spans="1:9" x14ac:dyDescent="0.25">
      <c r="A51" s="13">
        <v>44058</v>
      </c>
      <c r="B51" s="14">
        <v>4</v>
      </c>
      <c r="C51" s="14"/>
      <c r="D51" s="14">
        <f>Params!B$3+SUM($B$2:B51)</f>
        <v>8</v>
      </c>
      <c r="E51" s="14">
        <f>Params!B$2+SUM($C$2:C51)</f>
        <v>7.756016699999992</v>
      </c>
      <c r="F51" s="14">
        <f>Params!B$3+SUMIF($B$2:B51,"&gt;0")</f>
        <v>68</v>
      </c>
      <c r="G51" s="14">
        <f>Params!B$2+SUMIF($C$2:C51,"&gt;0")</f>
        <v>44.756016699999989</v>
      </c>
      <c r="H51" s="14">
        <f>SUMIF($B$2:B51,"&lt;0")</f>
        <v>-60</v>
      </c>
      <c r="I51" s="14">
        <f>SUMIF($C$2:C51,"&lt;0")</f>
        <v>-37</v>
      </c>
    </row>
    <row r="52" spans="1:9" x14ac:dyDescent="0.25">
      <c r="A52" s="13">
        <v>44058</v>
      </c>
      <c r="B52" s="14"/>
      <c r="C52" s="14">
        <v>2.8946677799999998</v>
      </c>
      <c r="D52" s="14">
        <f>Params!B$3+SUM($B$2:B52)</f>
        <v>8</v>
      </c>
      <c r="E52" s="14">
        <f>Params!B$2+SUM($C$2:C52)</f>
        <v>10.650684479999992</v>
      </c>
      <c r="F52" s="14">
        <f>Params!B$3+SUMIF($B$2:B52,"&gt;0")</f>
        <v>68</v>
      </c>
      <c r="G52" s="14">
        <f>Params!B$2+SUMIF($C$2:C52,"&gt;0")</f>
        <v>47.650684479999988</v>
      </c>
      <c r="H52" s="14">
        <f>SUMIF($B$2:B52,"&lt;0")</f>
        <v>-60</v>
      </c>
      <c r="I52" s="14">
        <f>SUMIF($C$2:C52,"&lt;0")</f>
        <v>-37</v>
      </c>
    </row>
    <row r="53" spans="1:9" x14ac:dyDescent="0.25">
      <c r="A53" s="13">
        <v>44068</v>
      </c>
      <c r="B53" s="14"/>
      <c r="C53" s="14">
        <v>-4</v>
      </c>
      <c r="D53" s="14">
        <f>Params!B$3+SUM($B$2:B53)</f>
        <v>8</v>
      </c>
      <c r="E53" s="14">
        <f>Params!B$2+SUM($C$2:C53)</f>
        <v>6.6506844799999918</v>
      </c>
      <c r="F53" s="14">
        <f>Params!B$3+SUMIF($B$2:B53,"&gt;0")</f>
        <v>68</v>
      </c>
      <c r="G53" s="14">
        <f>Params!B$2+SUMIF($C$2:C53,"&gt;0")</f>
        <v>47.650684479999988</v>
      </c>
      <c r="H53" s="14">
        <f>SUMIF($B$2:B53,"&lt;0")</f>
        <v>-60</v>
      </c>
      <c r="I53" s="14">
        <f>SUMIF($C$2:C53,"&lt;0")</f>
        <v>-41</v>
      </c>
    </row>
    <row r="54" spans="1:9" x14ac:dyDescent="0.25">
      <c r="A54" s="13">
        <v>44074</v>
      </c>
      <c r="B54" s="14">
        <v>4</v>
      </c>
      <c r="C54" s="14"/>
      <c r="D54" s="14">
        <f>Params!B$3+SUM($B$2:B54)</f>
        <v>12</v>
      </c>
      <c r="E54" s="14">
        <f>Params!B$2+SUM($C$2:C54)</f>
        <v>6.6506844799999918</v>
      </c>
      <c r="F54" s="14">
        <f>Params!B$3+SUMIF($B$2:B54,"&gt;0")</f>
        <v>72</v>
      </c>
      <c r="G54" s="14">
        <f>Params!B$2+SUMIF($C$2:C54,"&gt;0")</f>
        <v>47.650684479999988</v>
      </c>
      <c r="H54" s="14">
        <f>SUMIF($B$2:B54,"&lt;0")</f>
        <v>-60</v>
      </c>
      <c r="I54" s="14">
        <f>SUMIF($C$2:C54,"&lt;0")</f>
        <v>-41</v>
      </c>
    </row>
    <row r="55" spans="1:9" x14ac:dyDescent="0.25">
      <c r="A55" s="13">
        <v>44074</v>
      </c>
      <c r="B55" s="14"/>
      <c r="C55" s="14">
        <v>2.8946677799999998</v>
      </c>
      <c r="D55" s="14">
        <f>Params!B$3+SUM($B$2:B55)</f>
        <v>12</v>
      </c>
      <c r="E55" s="14">
        <f>Params!B$2+SUM($C$2:C55)</f>
        <v>9.5453522599999925</v>
      </c>
      <c r="F55" s="14">
        <f>Params!B$3+SUMIF($B$2:B55,"&gt;0")</f>
        <v>72</v>
      </c>
      <c r="G55" s="14">
        <f>Params!B$2+SUMIF($C$2:C55,"&gt;0")</f>
        <v>50.545352259999987</v>
      </c>
      <c r="H55" s="14">
        <f>SUMIF($B$2:B55,"&lt;0")</f>
        <v>-60</v>
      </c>
      <c r="I55" s="14">
        <f>SUMIF($C$2:C55,"&lt;0")</f>
        <v>-41</v>
      </c>
    </row>
    <row r="56" spans="1:9" x14ac:dyDescent="0.25">
      <c r="A56" s="13">
        <v>44089</v>
      </c>
      <c r="B56" s="14">
        <v>4</v>
      </c>
      <c r="C56" s="14"/>
      <c r="D56" s="14">
        <f>Params!B$3+SUM($B$2:B56)</f>
        <v>16</v>
      </c>
      <c r="E56" s="14">
        <f>Params!B$2+SUM($C$2:C56)</f>
        <v>9.5453522599999925</v>
      </c>
      <c r="F56" s="14">
        <f>Params!B$3+SUMIF($B$2:B56,"&gt;0")</f>
        <v>76</v>
      </c>
      <c r="G56" s="14">
        <f>Params!B$2+SUMIF($C$2:C56,"&gt;0")</f>
        <v>50.545352259999987</v>
      </c>
      <c r="H56" s="14">
        <f>SUMIF($B$2:B56,"&lt;0")</f>
        <v>-60</v>
      </c>
      <c r="I56" s="14">
        <f>SUMIF($C$2:C56,"&lt;0")</f>
        <v>-41</v>
      </c>
    </row>
    <row r="57" spans="1:9" x14ac:dyDescent="0.25">
      <c r="A57" s="13">
        <v>44089</v>
      </c>
      <c r="B57" s="14"/>
      <c r="C57" s="14">
        <v>2.8946677799999998</v>
      </c>
      <c r="D57" s="14">
        <f>Params!B$3+SUM($B$2:B57)</f>
        <v>16</v>
      </c>
      <c r="E57" s="14">
        <f>Params!B$2+SUM($C$2:C57)</f>
        <v>12.440020039999991</v>
      </c>
      <c r="F57" s="14">
        <f>Params!B$3+SUMIF($B$2:B57,"&gt;0")</f>
        <v>76</v>
      </c>
      <c r="G57" s="14">
        <f>Params!B$2+SUMIF($C$2:C57,"&gt;0")</f>
        <v>53.440020039999986</v>
      </c>
      <c r="H57" s="14">
        <f>SUMIF($B$2:B57,"&lt;0")</f>
        <v>-60</v>
      </c>
      <c r="I57" s="14">
        <f>SUMIF($C$2:C57,"&lt;0")</f>
        <v>-41</v>
      </c>
    </row>
    <row r="58" spans="1:9" x14ac:dyDescent="0.25">
      <c r="A58" s="13">
        <v>44091</v>
      </c>
      <c r="B58" s="14">
        <v>-4</v>
      </c>
      <c r="C58" s="14"/>
      <c r="D58" s="14">
        <f>Params!B$3+SUM($B$2:B58)</f>
        <v>12</v>
      </c>
      <c r="E58" s="14">
        <f>Params!B$2+SUM($C$2:C58)</f>
        <v>12.440020039999991</v>
      </c>
      <c r="F58" s="14">
        <f>Params!B$3+SUMIF($B$2:B58,"&gt;0")</f>
        <v>76</v>
      </c>
      <c r="G58" s="14">
        <f>Params!B$2+SUMIF($C$2:C58,"&gt;0")</f>
        <v>53.440020039999986</v>
      </c>
      <c r="H58" s="14">
        <f>SUMIF($B$2:B58,"&lt;0")</f>
        <v>-64</v>
      </c>
      <c r="I58" s="14">
        <f>SUMIF($C$2:C58,"&lt;0")</f>
        <v>-41</v>
      </c>
    </row>
    <row r="59" spans="1:9" x14ac:dyDescent="0.25">
      <c r="A59" s="13">
        <v>44092</v>
      </c>
      <c r="B59" s="14">
        <v>-8</v>
      </c>
      <c r="C59" s="14"/>
      <c r="D59" s="14">
        <f>Params!B$3+SUM($B$2:B59)</f>
        <v>4</v>
      </c>
      <c r="E59" s="14">
        <f>Params!B$2+SUM($C$2:C59)</f>
        <v>12.440020039999991</v>
      </c>
      <c r="F59" s="14">
        <f>Params!B$3+SUMIF($B$2:B59,"&gt;0")</f>
        <v>76</v>
      </c>
      <c r="G59" s="14">
        <f>Params!B$2+SUMIF($C$2:C59,"&gt;0")</f>
        <v>53.440020039999986</v>
      </c>
      <c r="H59" s="14">
        <f>SUMIF($B$2:B59,"&lt;0")</f>
        <v>-72</v>
      </c>
      <c r="I59" s="14">
        <f>SUMIF($C$2:C59,"&lt;0")</f>
        <v>-41</v>
      </c>
    </row>
    <row r="60" spans="1:9" x14ac:dyDescent="0.25">
      <c r="A60" s="13">
        <v>44104</v>
      </c>
      <c r="B60" s="14">
        <v>4</v>
      </c>
      <c r="C60" s="14"/>
      <c r="D60" s="14">
        <f>Params!B$3+SUM($B$2:B60)</f>
        <v>8</v>
      </c>
      <c r="E60" s="14">
        <f>Params!B$2+SUM($C$2:C60)</f>
        <v>12.440020039999991</v>
      </c>
      <c r="F60" s="14">
        <f>Params!B$3+SUMIF($B$2:B60,"&gt;0")</f>
        <v>80</v>
      </c>
      <c r="G60" s="14">
        <f>Params!B$2+SUMIF($C$2:C60,"&gt;0")</f>
        <v>53.440020039999986</v>
      </c>
      <c r="H60" s="14">
        <f>SUMIF($B$2:B60,"&lt;0")</f>
        <v>-72</v>
      </c>
      <c r="I60" s="14">
        <f>SUMIF($C$2:C60,"&lt;0")</f>
        <v>-41</v>
      </c>
    </row>
    <row r="61" spans="1:9" x14ac:dyDescent="0.25">
      <c r="A61" s="13">
        <v>44104</v>
      </c>
      <c r="B61" s="14"/>
      <c r="C61" s="14">
        <v>2.8946677799999998</v>
      </c>
      <c r="D61" s="14">
        <f>Params!B$3+SUM($B$2:B61)</f>
        <v>8</v>
      </c>
      <c r="E61" s="14">
        <f>Params!B$2+SUM($C$2:C61)</f>
        <v>15.33468781999999</v>
      </c>
      <c r="F61" s="14">
        <f>Params!B$3+SUMIF($B$2:B61,"&gt;0")</f>
        <v>80</v>
      </c>
      <c r="G61" s="14">
        <f>Params!B$2+SUMIF($C$2:C61,"&gt;0")</f>
        <v>56.334687819999985</v>
      </c>
      <c r="H61" s="14">
        <f>SUMIF($B$2:B61,"&lt;0")</f>
        <v>-72</v>
      </c>
      <c r="I61" s="14">
        <f>SUMIF($C$2:C61,"&lt;0")</f>
        <v>-41</v>
      </c>
    </row>
    <row r="62" spans="1:9" x14ac:dyDescent="0.25">
      <c r="A62" s="13">
        <v>44119</v>
      </c>
      <c r="B62" s="14">
        <v>4</v>
      </c>
      <c r="C62" s="14"/>
      <c r="D62" s="14">
        <f>Params!B$3+SUM($B$2:B62)</f>
        <v>12</v>
      </c>
      <c r="E62" s="14">
        <f>Params!B$2+SUM($C$2:C62)</f>
        <v>15.33468781999999</v>
      </c>
      <c r="F62" s="14">
        <f>Params!B$3+SUMIF($B$2:B62,"&gt;0")</f>
        <v>84</v>
      </c>
      <c r="G62" s="14">
        <f>Params!B$2+SUMIF($C$2:C62,"&gt;0")</f>
        <v>56.334687819999985</v>
      </c>
      <c r="H62" s="14">
        <f>SUMIF($B$2:B62,"&lt;0")</f>
        <v>-72</v>
      </c>
      <c r="I62" s="14">
        <f>SUMIF($C$2:C62,"&lt;0")</f>
        <v>-41</v>
      </c>
    </row>
    <row r="63" spans="1:9" x14ac:dyDescent="0.25">
      <c r="A63" s="13">
        <v>44119</v>
      </c>
      <c r="B63" s="14"/>
      <c r="C63" s="14">
        <v>2.8946677799999998</v>
      </c>
      <c r="D63" s="14">
        <f>Params!B$3+SUM($B$2:B63)</f>
        <v>12</v>
      </c>
      <c r="E63" s="14">
        <f>Params!B$2+SUM($C$2:C63)</f>
        <v>18.229355599999987</v>
      </c>
      <c r="F63" s="14">
        <f>Params!B$3+SUMIF($B$2:B63,"&gt;0")</f>
        <v>84</v>
      </c>
      <c r="G63" s="14">
        <f>Params!B$2+SUMIF($C$2:C63,"&gt;0")</f>
        <v>59.229355599999984</v>
      </c>
      <c r="H63" s="14">
        <f>SUMIF($B$2:B63,"&lt;0")</f>
        <v>-72</v>
      </c>
      <c r="I63" s="14">
        <f>SUMIF($C$2:C63,"&lt;0")</f>
        <v>-41</v>
      </c>
    </row>
    <row r="64" spans="1:9" x14ac:dyDescent="0.25">
      <c r="A64" s="13">
        <v>44130</v>
      </c>
      <c r="B64" s="14">
        <v>-8</v>
      </c>
      <c r="C64" s="14"/>
      <c r="D64" s="14">
        <f>Params!B$3+SUM($B$2:B64)</f>
        <v>4</v>
      </c>
      <c r="E64" s="14">
        <f>Params!B$2+SUM($C$2:C64)</f>
        <v>18.229355599999987</v>
      </c>
      <c r="F64" s="14">
        <f>Params!B$3+SUMIF($B$2:B64,"&gt;0")</f>
        <v>84</v>
      </c>
      <c r="G64" s="14">
        <f>Params!B$2+SUMIF($C$2:C64,"&gt;0")</f>
        <v>59.229355599999984</v>
      </c>
      <c r="H64" s="14">
        <f>SUMIF($B$2:B64,"&lt;0")</f>
        <v>-80</v>
      </c>
      <c r="I64" s="14">
        <f>SUMIF($C$2:C64,"&lt;0")</f>
        <v>-41</v>
      </c>
    </row>
    <row r="65" spans="1:9" x14ac:dyDescent="0.25">
      <c r="A65" s="13">
        <v>44135</v>
      </c>
      <c r="B65" s="14">
        <v>4</v>
      </c>
      <c r="C65" s="14"/>
      <c r="D65" s="14">
        <f>Params!B$3+SUM($B$2:B65)</f>
        <v>8</v>
      </c>
      <c r="E65" s="14">
        <f>Params!B$2+SUM($C$2:C65)</f>
        <v>18.229355599999987</v>
      </c>
      <c r="F65" s="14">
        <f>Params!B$3+SUMIF($B$2:B65,"&gt;0")</f>
        <v>88</v>
      </c>
      <c r="G65" s="14">
        <f>Params!B$2+SUMIF($C$2:C65,"&gt;0")</f>
        <v>59.229355599999984</v>
      </c>
      <c r="H65" s="14">
        <f>SUMIF($B$2:B65,"&lt;0")</f>
        <v>-80</v>
      </c>
      <c r="I65" s="14">
        <f>SUMIF($C$2:C65,"&lt;0")</f>
        <v>-41</v>
      </c>
    </row>
    <row r="66" spans="1:9" x14ac:dyDescent="0.25">
      <c r="A66" s="13">
        <v>44135</v>
      </c>
      <c r="B66" s="14"/>
      <c r="C66" s="14">
        <v>2.8946677799999998</v>
      </c>
      <c r="D66" s="14">
        <f>Params!B$3+SUM($B$2:B66)</f>
        <v>8</v>
      </c>
      <c r="E66" s="14">
        <f>Params!B$2+SUM($C$2:C66)</f>
        <v>21.124023379999986</v>
      </c>
      <c r="F66" s="14">
        <f>Params!B$3+SUMIF($B$2:B66,"&gt;0")</f>
        <v>88</v>
      </c>
      <c r="G66" s="14">
        <f>Params!B$2+SUMIF($C$2:C66,"&gt;0")</f>
        <v>62.124023379999983</v>
      </c>
      <c r="H66" s="14">
        <f>SUMIF($B$2:B66,"&lt;0")</f>
        <v>-80</v>
      </c>
      <c r="I66" s="14">
        <f>SUMIF($C$2:C66,"&lt;0")</f>
        <v>-41</v>
      </c>
    </row>
    <row r="67" spans="1:9" x14ac:dyDescent="0.25">
      <c r="A67" s="13">
        <v>44150</v>
      </c>
      <c r="B67" s="14">
        <v>4</v>
      </c>
      <c r="C67" s="14"/>
      <c r="D67" s="14">
        <f>Params!B$3+SUM($B$2:B67)</f>
        <v>12</v>
      </c>
      <c r="E67" s="14">
        <f>Params!B$2+SUM($C$2:C67)</f>
        <v>21.124023379999986</v>
      </c>
      <c r="F67" s="14">
        <f>Params!B$3+SUMIF($B$2:B67,"&gt;0")</f>
        <v>92</v>
      </c>
      <c r="G67" s="14">
        <f>Params!B$2+SUMIF($C$2:C67,"&gt;0")</f>
        <v>62.124023379999983</v>
      </c>
      <c r="H67" s="14">
        <f>SUMIF($B$2:B67,"&lt;0")</f>
        <v>-80</v>
      </c>
      <c r="I67" s="14">
        <f>SUMIF($C$2:C67,"&lt;0")</f>
        <v>-41</v>
      </c>
    </row>
    <row r="68" spans="1:9" x14ac:dyDescent="0.25">
      <c r="A68" s="13">
        <v>44150</v>
      </c>
      <c r="B68" s="14"/>
      <c r="C68" s="14">
        <v>2.8946677799999998</v>
      </c>
      <c r="D68" s="14">
        <f>Params!B$3+SUM($B$2:B68)</f>
        <v>12</v>
      </c>
      <c r="E68" s="14">
        <f>Params!B$2+SUM($C$2:C68)</f>
        <v>24.018691159999985</v>
      </c>
      <c r="F68" s="14">
        <f>Params!B$3+SUMIF($B$2:B68,"&gt;0")</f>
        <v>92</v>
      </c>
      <c r="G68" s="14">
        <f>Params!B$2+SUMIF($C$2:C68,"&gt;0")</f>
        <v>65.018691159999989</v>
      </c>
      <c r="H68" s="14">
        <f>SUMIF($B$2:B68,"&lt;0")</f>
        <v>-80</v>
      </c>
      <c r="I68" s="14">
        <f>SUMIF($C$2:C68,"&lt;0")</f>
        <v>-41</v>
      </c>
    </row>
    <row r="69" spans="1:9" x14ac:dyDescent="0.25">
      <c r="A69" s="13">
        <v>44155</v>
      </c>
      <c r="B69" s="14"/>
      <c r="C69" s="14">
        <v>-4</v>
      </c>
      <c r="D69" s="14">
        <f>Params!B$3+SUM($B$2:B69)</f>
        <v>12</v>
      </c>
      <c r="E69" s="14">
        <f>Params!B$2+SUM($C$2:C69)</f>
        <v>20.018691159999985</v>
      </c>
      <c r="F69" s="14">
        <f>Params!B$3+SUMIF($B$2:B69,"&gt;0")</f>
        <v>92</v>
      </c>
      <c r="G69" s="14">
        <f>Params!B$2+SUMIF($C$2:C69,"&gt;0")</f>
        <v>65.018691159999989</v>
      </c>
      <c r="H69" s="14">
        <f>SUMIF($B$2:B69,"&lt;0")</f>
        <v>-80</v>
      </c>
      <c r="I69" s="14">
        <f>SUMIF($C$2:C69,"&lt;0")</f>
        <v>-45</v>
      </c>
    </row>
    <row r="70" spans="1:9" x14ac:dyDescent="0.25">
      <c r="A70" s="13">
        <v>44165</v>
      </c>
      <c r="B70" s="14">
        <v>4</v>
      </c>
      <c r="C70" s="14"/>
      <c r="D70" s="14">
        <f>Params!B$3+SUM($B$2:B70)</f>
        <v>16</v>
      </c>
      <c r="E70" s="14">
        <f>Params!B$2+SUM($C$2:C70)</f>
        <v>20.018691159999985</v>
      </c>
      <c r="F70" s="14">
        <f>Params!B$3+SUMIF($B$2:B70,"&gt;0")</f>
        <v>96</v>
      </c>
      <c r="G70" s="14">
        <f>Params!B$2+SUMIF($C$2:C70,"&gt;0")</f>
        <v>65.018691159999989</v>
      </c>
      <c r="H70" s="14">
        <f>SUMIF($B$2:B70,"&lt;0")</f>
        <v>-80</v>
      </c>
      <c r="I70" s="14">
        <f>SUMIF($C$2:C70,"&lt;0")</f>
        <v>-45</v>
      </c>
    </row>
    <row r="71" spans="1:9" x14ac:dyDescent="0.25">
      <c r="A71" s="13">
        <v>44165</v>
      </c>
      <c r="B71" s="14"/>
      <c r="C71" s="14">
        <v>2.8946677799999998</v>
      </c>
      <c r="D71" s="14">
        <f>Params!B$3+SUM($B$2:B71)</f>
        <v>16</v>
      </c>
      <c r="E71" s="14">
        <f>Params!B$2+SUM($C$2:C71)</f>
        <v>22.913358939999984</v>
      </c>
      <c r="F71" s="14">
        <f>Params!B$3+SUMIF($B$2:B71,"&gt;0")</f>
        <v>96</v>
      </c>
      <c r="G71" s="14">
        <f>Params!B$2+SUMIF($C$2:C71,"&gt;0")</f>
        <v>67.913358939999981</v>
      </c>
      <c r="H71" s="14">
        <f>SUMIF($B$2:B71,"&lt;0")</f>
        <v>-80</v>
      </c>
      <c r="I71" s="14">
        <f>SUMIF($C$2:C71,"&lt;0")</f>
        <v>-45</v>
      </c>
    </row>
    <row r="72" spans="1:9" x14ac:dyDescent="0.25">
      <c r="A72" s="13">
        <v>44179</v>
      </c>
      <c r="B72" s="14"/>
      <c r="C72" s="14">
        <v>-4</v>
      </c>
      <c r="D72" s="14">
        <f>Params!B$3+SUM($B$2:B72)</f>
        <v>16</v>
      </c>
      <c r="E72" s="14">
        <f>Params!B$2+SUM($C$2:C72)</f>
        <v>18.913358939999984</v>
      </c>
      <c r="F72" s="14">
        <f>Params!B$3+SUMIF($B$2:B72,"&gt;0")</f>
        <v>96</v>
      </c>
      <c r="G72" s="14">
        <f>Params!B$2+SUMIF($C$2:C72,"&gt;0")</f>
        <v>67.913358939999981</v>
      </c>
      <c r="H72" s="14">
        <f>SUMIF($B$2:B72,"&lt;0")</f>
        <v>-80</v>
      </c>
      <c r="I72" s="14">
        <f>SUMIF($C$2:C72,"&lt;0")</f>
        <v>-49</v>
      </c>
    </row>
    <row r="73" spans="1:9" x14ac:dyDescent="0.25">
      <c r="A73" s="13">
        <v>44180</v>
      </c>
      <c r="B73" s="14">
        <v>4</v>
      </c>
      <c r="C73" s="14"/>
      <c r="D73" s="14">
        <f>Params!B$3+SUM($B$2:B73)</f>
        <v>20</v>
      </c>
      <c r="E73" s="14">
        <f>Params!B$2+SUM($C$2:C73)</f>
        <v>18.913358939999984</v>
      </c>
      <c r="F73" s="14">
        <f>Params!B$3+SUMIF($B$2:B73,"&gt;0")</f>
        <v>100</v>
      </c>
      <c r="G73" s="14">
        <f>Params!B$2+SUMIF($C$2:C73,"&gt;0")</f>
        <v>67.913358939999981</v>
      </c>
      <c r="H73" s="14">
        <f>SUMIF($B$2:B73,"&lt;0")</f>
        <v>-80</v>
      </c>
      <c r="I73" s="14">
        <f>SUMIF($C$2:C73,"&lt;0")</f>
        <v>-49</v>
      </c>
    </row>
    <row r="74" spans="1:9" x14ac:dyDescent="0.25">
      <c r="A74" s="13">
        <v>44180</v>
      </c>
      <c r="B74" s="14"/>
      <c r="C74" s="14">
        <v>2.8946677799999998</v>
      </c>
      <c r="D74" s="14">
        <f>Params!B$3+SUM($B$2:B74)</f>
        <v>20</v>
      </c>
      <c r="E74" s="14">
        <f>Params!B$2+SUM($C$2:C74)</f>
        <v>21.808026719999983</v>
      </c>
      <c r="F74" s="14">
        <f>Params!B$3+SUMIF($B$2:B74,"&gt;0")</f>
        <v>100</v>
      </c>
      <c r="G74" s="14">
        <f>Params!B$2+SUMIF($C$2:C74,"&gt;0")</f>
        <v>70.808026719999987</v>
      </c>
      <c r="H74" s="14">
        <f>SUMIF($B$2:B74,"&lt;0")</f>
        <v>-80</v>
      </c>
      <c r="I74" s="14">
        <f>SUMIF($C$2:C74,"&lt;0")</f>
        <v>-49</v>
      </c>
    </row>
    <row r="75" spans="1:9" x14ac:dyDescent="0.25">
      <c r="A75" s="13">
        <v>44181</v>
      </c>
      <c r="B75" s="14"/>
      <c r="C75" s="14">
        <v>-4</v>
      </c>
      <c r="D75" s="14">
        <f>Params!B$3+SUM($B$2:B75)</f>
        <v>20</v>
      </c>
      <c r="E75" s="14">
        <f>Params!B$2+SUM($C$2:C75)</f>
        <v>17.808026719999983</v>
      </c>
      <c r="F75" s="14">
        <f>Params!B$3+SUMIF($B$2:B75,"&gt;0")</f>
        <v>100</v>
      </c>
      <c r="G75" s="14">
        <f>Params!B$2+SUMIF($C$2:C75,"&gt;0")</f>
        <v>70.808026719999987</v>
      </c>
      <c r="H75" s="14">
        <f>SUMIF($B$2:B75,"&lt;0")</f>
        <v>-80</v>
      </c>
      <c r="I75" s="14">
        <f>SUMIF($C$2:C75,"&lt;0")</f>
        <v>-53</v>
      </c>
    </row>
    <row r="76" spans="1:9" x14ac:dyDescent="0.25">
      <c r="A76" s="13">
        <v>44188</v>
      </c>
      <c r="B76" s="14">
        <v>-8</v>
      </c>
      <c r="C76" s="14"/>
      <c r="D76" s="14">
        <f>Params!B$3+SUM($B$2:B76)</f>
        <v>12</v>
      </c>
      <c r="E76" s="14">
        <f>Params!B$2+SUM($C$2:C76)</f>
        <v>17.808026719999983</v>
      </c>
      <c r="F76" s="14">
        <f>Params!B$3+SUMIF($B$2:B76,"&gt;0")</f>
        <v>100</v>
      </c>
      <c r="G76" s="14">
        <f>Params!B$2+SUMIF($C$2:C76,"&gt;0")</f>
        <v>70.808026719999987</v>
      </c>
      <c r="H76" s="14">
        <f>SUMIF($B$2:B76,"&lt;0")</f>
        <v>-88</v>
      </c>
      <c r="I76" s="14">
        <f>SUMIF($C$2:C76,"&lt;0")</f>
        <v>-53</v>
      </c>
    </row>
    <row r="77" spans="1:9" x14ac:dyDescent="0.25">
      <c r="A77" s="13">
        <v>44196</v>
      </c>
      <c r="B77" s="14">
        <v>4</v>
      </c>
      <c r="C77" s="14"/>
      <c r="D77" s="14">
        <f>Params!B$3+SUM($B$2:B77)</f>
        <v>16</v>
      </c>
      <c r="E77" s="14">
        <f>Params!B$2+SUM($C$2:C77)</f>
        <v>17.808026719999983</v>
      </c>
      <c r="F77" s="14">
        <f>Params!B$3+SUMIF($B$2:B77,"&gt;0")</f>
        <v>104</v>
      </c>
      <c r="G77" s="14">
        <f>Params!B$2+SUMIF($C$2:C77,"&gt;0")</f>
        <v>70.808026719999987</v>
      </c>
      <c r="H77" s="14">
        <f>SUMIF($B$2:B77,"&lt;0")</f>
        <v>-88</v>
      </c>
      <c r="I77" s="14">
        <f>SUMIF($C$2:C77,"&lt;0")</f>
        <v>-53</v>
      </c>
    </row>
    <row r="78" spans="1:9" x14ac:dyDescent="0.25">
      <c r="A78" s="13">
        <v>44196</v>
      </c>
      <c r="B78" s="14"/>
      <c r="C78" s="14">
        <v>2.8946677799999998</v>
      </c>
      <c r="D78" s="14">
        <f>Params!B$3+SUM($B$2:B78)</f>
        <v>16</v>
      </c>
      <c r="E78" s="14">
        <f>Params!B$2+SUM($C$2:C78)</f>
        <v>20.702694499999982</v>
      </c>
      <c r="F78" s="14">
        <f>Params!B$3+SUMIF($B$2:B78,"&gt;0")</f>
        <v>104</v>
      </c>
      <c r="G78" s="14">
        <f>Params!B$2+SUMIF($C$2:C78,"&gt;0")</f>
        <v>73.702694499999993</v>
      </c>
      <c r="H78" s="14">
        <f>SUMIF($B$2:B78,"&lt;0")</f>
        <v>-88</v>
      </c>
      <c r="I78" s="14">
        <f>SUMIF($C$2:C78,"&lt;0")</f>
        <v>-53</v>
      </c>
    </row>
    <row r="79" spans="1:9" x14ac:dyDescent="0.25">
      <c r="A79" s="13">
        <v>44211</v>
      </c>
      <c r="B79" s="14">
        <v>4</v>
      </c>
      <c r="C79" s="14"/>
      <c r="D79" s="14">
        <f>Params!B$3+SUM($B$2:B79)</f>
        <v>20</v>
      </c>
      <c r="E79" s="14">
        <f>Params!B$2+SUM($C$2:C79)</f>
        <v>20.702694499999982</v>
      </c>
      <c r="F79" s="14">
        <f>Params!B$3+SUMIF($B$2:B79,"&gt;0")</f>
        <v>108</v>
      </c>
      <c r="G79" s="14">
        <f>Params!B$2+SUMIF($C$2:C79,"&gt;0")</f>
        <v>73.702694499999993</v>
      </c>
      <c r="H79" s="14">
        <f>SUMIF($B$2:B79,"&lt;0")</f>
        <v>-88</v>
      </c>
      <c r="I79" s="14">
        <f>SUMIF($C$2:C79,"&lt;0")</f>
        <v>-53</v>
      </c>
    </row>
    <row r="80" spans="1:9" x14ac:dyDescent="0.25">
      <c r="A80" s="13">
        <v>44211</v>
      </c>
      <c r="B80" s="14"/>
      <c r="C80" s="14">
        <v>2.8946677799999998</v>
      </c>
      <c r="D80" s="14">
        <f>Params!B$3+SUM($B$2:B80)</f>
        <v>20</v>
      </c>
      <c r="E80" s="14">
        <f>Params!B$2+SUM($C$2:C80)</f>
        <v>23.597362279999981</v>
      </c>
      <c r="F80" s="14">
        <f>Params!B$3+SUMIF($B$2:B80,"&gt;0")</f>
        <v>108</v>
      </c>
      <c r="G80" s="14">
        <f>Params!B$2+SUMIF($C$2:C80,"&gt;0")</f>
        <v>76.597362279999999</v>
      </c>
      <c r="H80" s="14">
        <f>SUMIF($B$2:B80,"&lt;0")</f>
        <v>-88</v>
      </c>
      <c r="I80" s="14">
        <f>SUMIF($C$2:C80,"&lt;0")</f>
        <v>-53</v>
      </c>
    </row>
    <row r="81" spans="1:9" x14ac:dyDescent="0.25">
      <c r="A81" s="13">
        <v>44216</v>
      </c>
      <c r="B81" s="14">
        <v>-8</v>
      </c>
      <c r="C81" s="14"/>
      <c r="D81" s="14">
        <f>Params!B$3+SUM($B$2:B81)</f>
        <v>12</v>
      </c>
      <c r="E81" s="14">
        <f>Params!B$2+SUM($C$2:C81)</f>
        <v>23.597362279999981</v>
      </c>
      <c r="F81" s="14">
        <f>Params!B$3+SUMIF($B$2:B81,"&gt;0")</f>
        <v>108</v>
      </c>
      <c r="G81" s="14">
        <f>Params!B$2+SUMIF($C$2:C81,"&gt;0")</f>
        <v>76.597362279999999</v>
      </c>
      <c r="H81" s="14">
        <f>SUMIF($B$2:B81,"&lt;0")</f>
        <v>-96</v>
      </c>
      <c r="I81" s="14">
        <f>SUMIF($C$2:C81,"&lt;0")</f>
        <v>-53</v>
      </c>
    </row>
    <row r="82" spans="1:9" x14ac:dyDescent="0.25">
      <c r="A82" s="13">
        <v>44227</v>
      </c>
      <c r="B82" s="14">
        <v>4</v>
      </c>
      <c r="C82" s="14"/>
      <c r="D82" s="14">
        <f>Params!B$3+SUM($B$2:B82)</f>
        <v>16</v>
      </c>
      <c r="E82" s="14">
        <f>Params!B$2+SUM($C$2:C82)</f>
        <v>23.597362279999981</v>
      </c>
      <c r="F82" s="14">
        <f>Params!B$3+SUMIF($B$2:B82,"&gt;0")</f>
        <v>112</v>
      </c>
      <c r="G82" s="14">
        <f>Params!B$2+SUMIF($C$2:C82,"&gt;0")</f>
        <v>76.597362279999999</v>
      </c>
      <c r="H82" s="14">
        <f>SUMIF($B$2:B82,"&lt;0")</f>
        <v>-96</v>
      </c>
      <c r="I82" s="14">
        <f>SUMIF($C$2:C82,"&lt;0")</f>
        <v>-53</v>
      </c>
    </row>
    <row r="83" spans="1:9" x14ac:dyDescent="0.25">
      <c r="A83" s="13">
        <v>44227</v>
      </c>
      <c r="B83" s="14"/>
      <c r="C83" s="14">
        <v>2.8946677799999998</v>
      </c>
      <c r="D83" s="14">
        <f>Params!B$3+SUM($B$2:B83)</f>
        <v>16</v>
      </c>
      <c r="E83" s="14">
        <f>Params!B$2+SUM($C$2:C83)</f>
        <v>26.49203005999998</v>
      </c>
      <c r="F83" s="14">
        <f>Params!B$3+SUMIF($B$2:B83,"&gt;0")</f>
        <v>112</v>
      </c>
      <c r="G83" s="14">
        <f>Params!B$2+SUMIF($C$2:C83,"&gt;0")</f>
        <v>79.492030060000005</v>
      </c>
      <c r="H83" s="14">
        <f>SUMIF($B$2:B83,"&lt;0")</f>
        <v>-96</v>
      </c>
      <c r="I83" s="14">
        <f>SUMIF($C$2:C83,"&lt;0")</f>
        <v>-53</v>
      </c>
    </row>
    <row r="84" spans="1:9" x14ac:dyDescent="0.25">
      <c r="A84" s="13">
        <v>44235</v>
      </c>
      <c r="B84" s="14">
        <v>-4</v>
      </c>
      <c r="C84" s="14"/>
      <c r="D84" s="14">
        <f>Params!B$3+SUM($B$2:B84)</f>
        <v>12</v>
      </c>
      <c r="E84" s="14">
        <f>Params!B$2+SUM($C$2:C84)</f>
        <v>26.49203005999998</v>
      </c>
      <c r="F84" s="14">
        <f>Params!B$3+SUMIF($B$2:B84,"&gt;0")</f>
        <v>112</v>
      </c>
      <c r="G84" s="14">
        <f>Params!B$2+SUMIF($C$2:C84,"&gt;0")</f>
        <v>79.492030060000005</v>
      </c>
      <c r="H84" s="14">
        <f>SUMIF($B$2:B84,"&lt;0")</f>
        <v>-100</v>
      </c>
      <c r="I84" s="14">
        <f>SUMIF($C$2:C84,"&lt;0")</f>
        <v>-53</v>
      </c>
    </row>
    <row r="85" spans="1:9" x14ac:dyDescent="0.25">
      <c r="A85" s="13">
        <v>44242</v>
      </c>
      <c r="B85" s="14">
        <v>4</v>
      </c>
      <c r="C85" s="14"/>
      <c r="D85" s="14">
        <f>Params!B$3+SUM($B$2:B85)</f>
        <v>16</v>
      </c>
      <c r="E85" s="14">
        <f>Params!B$2+SUM($C$2:C85)</f>
        <v>26.49203005999998</v>
      </c>
      <c r="F85" s="14">
        <f>Params!B$3+SUMIF($B$2:B85,"&gt;0")</f>
        <v>116</v>
      </c>
      <c r="G85" s="14">
        <f>Params!B$2+SUMIF($C$2:C85,"&gt;0")</f>
        <v>79.492030060000005</v>
      </c>
      <c r="H85" s="14">
        <f>SUMIF($B$2:B85,"&lt;0")</f>
        <v>-100</v>
      </c>
      <c r="I85" s="14">
        <f>SUMIF($C$2:C85,"&lt;0")</f>
        <v>-53</v>
      </c>
    </row>
    <row r="86" spans="1:9" x14ac:dyDescent="0.25">
      <c r="A86" s="13">
        <v>44242</v>
      </c>
      <c r="B86" s="14"/>
      <c r="C86" s="14">
        <v>2.8946677799999998</v>
      </c>
      <c r="D86" s="14">
        <f>Params!B$3+SUM($B$2:B86)</f>
        <v>16</v>
      </c>
      <c r="E86" s="14">
        <f>Params!B$2+SUM($C$2:C86)</f>
        <v>29.386697839999979</v>
      </c>
      <c r="F86" s="14">
        <f>Params!B$3+SUMIF($B$2:B86,"&gt;0")</f>
        <v>116</v>
      </c>
      <c r="G86" s="14">
        <f>Params!B$2+SUMIF($C$2:C86,"&gt;0")</f>
        <v>82.386697840000011</v>
      </c>
      <c r="H86" s="14">
        <f>SUMIF($B$2:B86,"&lt;0")</f>
        <v>-100</v>
      </c>
      <c r="I86" s="14">
        <f>SUMIF($C$2:C86,"&lt;0")</f>
        <v>-53</v>
      </c>
    </row>
    <row r="87" spans="1:9" x14ac:dyDescent="0.25">
      <c r="A87" s="13">
        <v>44255</v>
      </c>
      <c r="B87" s="14">
        <v>4</v>
      </c>
      <c r="C87" s="14"/>
      <c r="D87" s="14">
        <f>Params!B$3+SUM($B$2:B87)</f>
        <v>20</v>
      </c>
      <c r="E87" s="14">
        <f>Params!B$2+SUM($C$2:C87)</f>
        <v>29.386697839999979</v>
      </c>
      <c r="F87" s="14">
        <f>Params!B$3+SUMIF($B$2:B87,"&gt;0")</f>
        <v>120</v>
      </c>
      <c r="G87" s="14">
        <f>Params!B$2+SUMIF($C$2:C87,"&gt;0")</f>
        <v>82.386697840000011</v>
      </c>
      <c r="H87" s="14">
        <f>SUMIF($B$2:B87,"&lt;0")</f>
        <v>-100</v>
      </c>
      <c r="I87" s="14">
        <f>SUMIF($C$2:C87,"&lt;0")</f>
        <v>-53</v>
      </c>
    </row>
    <row r="88" spans="1:9" x14ac:dyDescent="0.25">
      <c r="A88" s="13">
        <v>44255</v>
      </c>
      <c r="B88" s="14"/>
      <c r="C88" s="14">
        <v>2.8946677799999998</v>
      </c>
      <c r="D88" s="14">
        <f>Params!B$3+SUM($B$2:B88)</f>
        <v>20</v>
      </c>
      <c r="E88" s="14">
        <f>Params!B$2+SUM($C$2:C88)</f>
        <v>32.281365619999981</v>
      </c>
      <c r="F88" s="14">
        <f>Params!B$3+SUMIF($B$2:B88,"&gt;0")</f>
        <v>120</v>
      </c>
      <c r="G88" s="14">
        <f>Params!B$2+SUMIF($C$2:C88,"&gt;0")</f>
        <v>85.281365620000017</v>
      </c>
      <c r="H88" s="14">
        <f>SUMIF($B$2:B88,"&lt;0")</f>
        <v>-100</v>
      </c>
      <c r="I88" s="14">
        <f>SUMIF($C$2:C88,"&lt;0")</f>
        <v>-53</v>
      </c>
    </row>
    <row r="89" spans="1:9" x14ac:dyDescent="0.25">
      <c r="A89" s="13">
        <v>44260</v>
      </c>
      <c r="B89" s="14">
        <v>-4</v>
      </c>
      <c r="C89" s="14"/>
      <c r="D89" s="14">
        <f>Params!B$3+SUM($B$2:B89)</f>
        <v>16</v>
      </c>
      <c r="E89" s="14">
        <f>Params!B$2+SUM($C$2:C89)</f>
        <v>32.281365619999981</v>
      </c>
      <c r="F89" s="14">
        <f>Params!B$3+SUMIF($B$2:B89,"&gt;0")</f>
        <v>120</v>
      </c>
      <c r="G89" s="14">
        <f>Params!B$2+SUMIF($C$2:C89,"&gt;0")</f>
        <v>85.281365620000017</v>
      </c>
      <c r="H89" s="14">
        <f>SUMIF($B$2:B89,"&lt;0")</f>
        <v>-104</v>
      </c>
      <c r="I89" s="14">
        <f>SUMIF($C$2:C89,"&lt;0")</f>
        <v>-53</v>
      </c>
    </row>
    <row r="90" spans="1:9" x14ac:dyDescent="0.25">
      <c r="A90" s="13">
        <v>44270</v>
      </c>
      <c r="B90" s="14">
        <v>4</v>
      </c>
      <c r="C90" s="14"/>
      <c r="D90" s="14">
        <f>Params!B$3+SUM($B$2:B90)</f>
        <v>20</v>
      </c>
      <c r="E90" s="14">
        <f>Params!B$2+SUM($C$2:C90)</f>
        <v>32.281365619999981</v>
      </c>
      <c r="F90" s="14">
        <f>Params!B$3+SUMIF($B$2:B90,"&gt;0")</f>
        <v>124</v>
      </c>
      <c r="G90" s="14">
        <f>Params!B$2+SUMIF($C$2:C90,"&gt;0")</f>
        <v>85.281365620000017</v>
      </c>
      <c r="H90" s="14">
        <f>SUMIF($B$2:B90,"&lt;0")</f>
        <v>-104</v>
      </c>
      <c r="I90" s="14">
        <f>SUMIF($C$2:C90,"&lt;0")</f>
        <v>-53</v>
      </c>
    </row>
    <row r="91" spans="1:9" x14ac:dyDescent="0.25">
      <c r="A91" s="13">
        <v>44270</v>
      </c>
      <c r="B91" s="14"/>
      <c r="C91" s="14">
        <v>2.8946677799999998</v>
      </c>
      <c r="D91" s="14">
        <f>Params!B$3+SUM($B$2:B91)</f>
        <v>20</v>
      </c>
      <c r="E91" s="14">
        <f>Params!B$2+SUM($C$2:C91)</f>
        <v>35.17603339999998</v>
      </c>
      <c r="F91" s="14">
        <f>Params!B$3+SUMIF($B$2:B91,"&gt;0")</f>
        <v>124</v>
      </c>
      <c r="G91" s="14">
        <f>Params!B$2+SUMIF($C$2:C91,"&gt;0")</f>
        <v>88.176033400000023</v>
      </c>
      <c r="H91" s="14">
        <f>SUMIF($B$2:B91,"&lt;0")</f>
        <v>-104</v>
      </c>
      <c r="I91" s="14">
        <f>SUMIF($C$2:C91,"&lt;0")</f>
        <v>-53</v>
      </c>
    </row>
    <row r="92" spans="1:9" x14ac:dyDescent="0.25">
      <c r="A92" s="13">
        <v>44286</v>
      </c>
      <c r="B92" s="14">
        <v>4</v>
      </c>
      <c r="C92" s="14"/>
      <c r="D92" s="14">
        <f>Params!B$3+SUM($B$2:B92)</f>
        <v>24</v>
      </c>
      <c r="E92" s="14">
        <f>Params!B$2+SUM($C$2:C92)</f>
        <v>35.17603339999998</v>
      </c>
      <c r="F92" s="14">
        <f>Params!B$3+SUMIF($B$2:B92,"&gt;0")</f>
        <v>128</v>
      </c>
      <c r="G92" s="14">
        <f>Params!B$2+SUMIF($C$2:C92,"&gt;0")</f>
        <v>88.176033400000023</v>
      </c>
      <c r="H92" s="14">
        <f>SUMIF($B$2:B92,"&lt;0")</f>
        <v>-104</v>
      </c>
      <c r="I92" s="14">
        <f>SUMIF($C$2:C92,"&lt;0")</f>
        <v>-53</v>
      </c>
    </row>
    <row r="93" spans="1:9" x14ac:dyDescent="0.25">
      <c r="A93" s="13">
        <v>44286</v>
      </c>
      <c r="B93" s="14"/>
      <c r="C93" s="14">
        <v>2.8946677799999998</v>
      </c>
      <c r="D93" s="14">
        <f>Params!B$3+SUM($B$2:B93)</f>
        <v>24</v>
      </c>
      <c r="E93" s="14">
        <f>Params!B$2+SUM($C$2:C93)</f>
        <v>38.070701179999979</v>
      </c>
      <c r="F93" s="14">
        <f>Params!B$3+SUMIF($B$2:B93,"&gt;0")</f>
        <v>128</v>
      </c>
      <c r="G93" s="14">
        <f>Params!B$2+SUMIF($C$2:C93,"&gt;0")</f>
        <v>91.070701180000029</v>
      </c>
      <c r="H93" s="14">
        <f>SUMIF($B$2:B93,"&lt;0")</f>
        <v>-104</v>
      </c>
      <c r="I93" s="14">
        <f>SUMIF($C$2:C93,"&lt;0")</f>
        <v>-53</v>
      </c>
    </row>
    <row r="94" spans="1:9" x14ac:dyDescent="0.25">
      <c r="A94" s="13">
        <v>44301</v>
      </c>
      <c r="B94" s="14">
        <v>4</v>
      </c>
      <c r="C94" s="14"/>
      <c r="D94" s="14">
        <f>Params!B$3+SUM($B$2:B94)</f>
        <v>28</v>
      </c>
      <c r="E94" s="14">
        <f>Params!B$2+SUM($C$2:C94)</f>
        <v>38.070701179999979</v>
      </c>
      <c r="F94" s="14">
        <f>Params!B$3+SUMIF($B$2:B94,"&gt;0")</f>
        <v>132</v>
      </c>
      <c r="G94" s="14">
        <f>Params!B$2+SUMIF($C$2:C94,"&gt;0")</f>
        <v>91.070701180000029</v>
      </c>
      <c r="H94" s="14">
        <f>SUMIF($B$2:B94,"&lt;0")</f>
        <v>-104</v>
      </c>
      <c r="I94" s="14">
        <f>SUMIF($C$2:C94,"&lt;0")</f>
        <v>-53</v>
      </c>
    </row>
    <row r="95" spans="1:9" x14ac:dyDescent="0.25">
      <c r="A95" s="13">
        <v>44301</v>
      </c>
      <c r="B95" s="14"/>
      <c r="C95" s="14">
        <v>2.8946677799999998</v>
      </c>
      <c r="D95" s="14">
        <f>Params!B$3+SUM($B$2:B95)</f>
        <v>28</v>
      </c>
      <c r="E95" s="14">
        <f>Params!B$2+SUM($C$2:C95)</f>
        <v>40.965368959999978</v>
      </c>
      <c r="F95" s="14">
        <f>Params!B$3+SUMIF($B$2:B95,"&gt;0")</f>
        <v>132</v>
      </c>
      <c r="G95" s="14">
        <f>Params!B$2+SUMIF($C$2:C95,"&gt;0")</f>
        <v>93.965368960000035</v>
      </c>
      <c r="H95" s="14">
        <f>SUMIF($B$2:B95,"&lt;0")</f>
        <v>-104</v>
      </c>
      <c r="I95" s="14">
        <f>SUMIF($C$2:C95,"&lt;0")</f>
        <v>-53</v>
      </c>
    </row>
    <row r="96" spans="1:9" x14ac:dyDescent="0.25">
      <c r="A96" s="13">
        <v>44316</v>
      </c>
      <c r="B96" s="14">
        <v>4</v>
      </c>
      <c r="C96" s="14"/>
      <c r="D96" s="14">
        <f>Params!B$3+SUM($B$2:B96)</f>
        <v>32</v>
      </c>
      <c r="E96" s="14">
        <f>Params!B$2+SUM($C$2:C96)</f>
        <v>40.965368959999978</v>
      </c>
      <c r="F96" s="14">
        <f>Params!B$3+SUMIF($B$2:B96,"&gt;0")</f>
        <v>136</v>
      </c>
      <c r="G96" s="14">
        <f>Params!B$2+SUMIF($C$2:C96,"&gt;0")</f>
        <v>93.965368960000035</v>
      </c>
      <c r="H96" s="14">
        <f>SUMIF($B$2:B96,"&lt;0")</f>
        <v>-104</v>
      </c>
      <c r="I96" s="14">
        <f>SUMIF($C$2:C96,"&lt;0")</f>
        <v>-53</v>
      </c>
    </row>
    <row r="97" spans="1:9" x14ac:dyDescent="0.25">
      <c r="A97" s="13">
        <v>44316</v>
      </c>
      <c r="B97" s="14"/>
      <c r="C97" s="14">
        <v>2.8946677799999998</v>
      </c>
      <c r="D97" s="14">
        <f>Params!B$3+SUM($B$2:B97)</f>
        <v>32</v>
      </c>
      <c r="E97" s="14">
        <f>Params!B$2+SUM($C$2:C97)</f>
        <v>43.860036739999977</v>
      </c>
      <c r="F97" s="14">
        <f>Params!B$3+SUMIF($B$2:B97,"&gt;0")</f>
        <v>136</v>
      </c>
      <c r="G97" s="14">
        <f>Params!B$2+SUMIF($C$2:C97,"&gt;0")</f>
        <v>96.860036740000041</v>
      </c>
      <c r="H97" s="14">
        <f>SUMIF($B$2:B97,"&lt;0")</f>
        <v>-104</v>
      </c>
      <c r="I97" s="14">
        <f>SUMIF($C$2:C97,"&lt;0")</f>
        <v>-53</v>
      </c>
    </row>
    <row r="98" spans="1:9" x14ac:dyDescent="0.25">
      <c r="A98" s="13">
        <v>44331</v>
      </c>
      <c r="B98" s="14">
        <v>4</v>
      </c>
      <c r="C98" s="14"/>
      <c r="D98" s="14">
        <f>Params!B$3+SUM($B$2:B98)</f>
        <v>36</v>
      </c>
      <c r="E98" s="14">
        <f>Params!B$2+SUM($C$2:C98)</f>
        <v>43.860036739999977</v>
      </c>
      <c r="F98" s="14">
        <f>Params!B$3+SUMIF($B$2:B98,"&gt;0")</f>
        <v>140</v>
      </c>
      <c r="G98" s="14">
        <f>Params!B$2+SUMIF($C$2:C98,"&gt;0")</f>
        <v>96.860036740000041</v>
      </c>
      <c r="H98" s="14">
        <f>SUMIF($B$2:B98,"&lt;0")</f>
        <v>-104</v>
      </c>
      <c r="I98" s="14">
        <f>SUMIF($C$2:C98,"&lt;0")</f>
        <v>-53</v>
      </c>
    </row>
    <row r="99" spans="1:9" x14ac:dyDescent="0.25">
      <c r="A99" s="13">
        <v>44331</v>
      </c>
      <c r="B99" s="14"/>
      <c r="C99" s="14">
        <v>2.8946677799999998</v>
      </c>
      <c r="D99" s="14">
        <f>Params!B$3+SUM($B$2:B99)</f>
        <v>36</v>
      </c>
      <c r="E99" s="14">
        <f>Params!B$2+SUM($C$2:C99)</f>
        <v>46.754704519999976</v>
      </c>
      <c r="F99" s="14">
        <f>Params!B$3+SUMIF($B$2:B99,"&gt;0")</f>
        <v>140</v>
      </c>
      <c r="G99" s="14">
        <f>Params!B$2+SUMIF($C$2:C99,"&gt;0")</f>
        <v>99.754704520000047</v>
      </c>
      <c r="H99" s="14">
        <f>SUMIF($B$2:B99,"&lt;0")</f>
        <v>-104</v>
      </c>
      <c r="I99" s="14">
        <f>SUMIF($C$2:C99,"&lt;0")</f>
        <v>-53</v>
      </c>
    </row>
    <row r="100" spans="1:9" x14ac:dyDescent="0.25">
      <c r="A100" s="13">
        <v>44347</v>
      </c>
      <c r="B100" s="14">
        <v>4</v>
      </c>
      <c r="C100" s="14"/>
      <c r="D100" s="14">
        <f>Params!B$3+SUM($B$2:B100)</f>
        <v>40</v>
      </c>
      <c r="E100" s="14">
        <f>Params!B$2+SUM($C$2:C100)</f>
        <v>46.754704519999976</v>
      </c>
      <c r="F100" s="14">
        <f>Params!B$3+SUMIF($B$2:B100,"&gt;0")</f>
        <v>144</v>
      </c>
      <c r="G100" s="14">
        <f>Params!B$2+SUMIF($C$2:C100,"&gt;0")</f>
        <v>99.754704520000047</v>
      </c>
      <c r="H100" s="14">
        <f>SUMIF($B$2:B100,"&lt;0")</f>
        <v>-104</v>
      </c>
      <c r="I100" s="14">
        <f>SUMIF($C$2:C100,"&lt;0")</f>
        <v>-53</v>
      </c>
    </row>
    <row r="101" spans="1:9" x14ac:dyDescent="0.25">
      <c r="A101" s="13">
        <v>44347</v>
      </c>
      <c r="B101" s="14"/>
      <c r="C101" s="14">
        <v>2.8946677799999998</v>
      </c>
      <c r="D101" s="14">
        <f>Params!B$3+SUM($B$2:B101)</f>
        <v>40</v>
      </c>
      <c r="E101" s="14">
        <f>Params!B$2+SUM($C$2:C101)</f>
        <v>49.649372299999975</v>
      </c>
      <c r="F101" s="14">
        <f>Params!B$3+SUMIF($B$2:B101,"&gt;0")</f>
        <v>144</v>
      </c>
      <c r="G101" s="14">
        <f>Params!B$2+SUMIF($C$2:C101,"&gt;0")</f>
        <v>102.64937230000005</v>
      </c>
      <c r="H101" s="14">
        <f>SUMIF($B$2:B101,"&lt;0")</f>
        <v>-104</v>
      </c>
      <c r="I101" s="14">
        <f>SUMIF($C$2:C101,"&lt;0")</f>
        <v>-53</v>
      </c>
    </row>
    <row r="102" spans="1:9" x14ac:dyDescent="0.25">
      <c r="A102" s="13">
        <v>44362</v>
      </c>
      <c r="B102" s="14">
        <v>4</v>
      </c>
      <c r="C102" s="14"/>
      <c r="D102" s="14">
        <f>Params!B$3+SUM($B$2:B102)</f>
        <v>44</v>
      </c>
      <c r="E102" s="14">
        <f>Params!B$2+SUM($C$2:C102)</f>
        <v>49.649372299999975</v>
      </c>
      <c r="F102" s="14">
        <f>Params!B$3+SUMIF($B$2:B102,"&gt;0")</f>
        <v>148</v>
      </c>
      <c r="G102" s="14">
        <f>Params!B$2+SUMIF($C$2:C102,"&gt;0")</f>
        <v>102.64937230000005</v>
      </c>
      <c r="H102" s="14">
        <f>SUMIF($B$2:B102,"&lt;0")</f>
        <v>-104</v>
      </c>
      <c r="I102" s="14">
        <f>SUMIF($C$2:C102,"&lt;0")</f>
        <v>-53</v>
      </c>
    </row>
    <row r="103" spans="1:9" x14ac:dyDescent="0.25">
      <c r="A103" s="13">
        <v>44362</v>
      </c>
      <c r="B103" s="14"/>
      <c r="C103" s="14">
        <v>2.8946677799999998</v>
      </c>
      <c r="D103" s="14">
        <f>Params!B$3+SUM($B$2:B103)</f>
        <v>44</v>
      </c>
      <c r="E103" s="14">
        <f>Params!B$2+SUM($C$2:C103)</f>
        <v>52.544040079999974</v>
      </c>
      <c r="F103" s="14">
        <f>Params!B$3+SUMIF($B$2:B103,"&gt;0")</f>
        <v>148</v>
      </c>
      <c r="G103" s="14">
        <f>Params!B$2+SUMIF($C$2:C103,"&gt;0")</f>
        <v>105.54404008000006</v>
      </c>
      <c r="H103" s="14">
        <f>SUMIF($B$2:B103,"&lt;0")</f>
        <v>-104</v>
      </c>
      <c r="I103" s="14">
        <f>SUMIF($C$2:C103,"&lt;0")</f>
        <v>-53</v>
      </c>
    </row>
    <row r="104" spans="1:9" x14ac:dyDescent="0.25">
      <c r="A104" s="13">
        <v>44377</v>
      </c>
      <c r="B104" s="14">
        <v>4</v>
      </c>
      <c r="C104" s="14"/>
      <c r="D104" s="14">
        <f>Params!B$3+SUM($B$2:B104)</f>
        <v>48</v>
      </c>
      <c r="E104" s="14">
        <f>Params!B$2+SUM($C$2:C104)</f>
        <v>52.544040079999974</v>
      </c>
      <c r="F104" s="14">
        <f>Params!B$3+SUMIF($B$2:B104,"&gt;0")</f>
        <v>152</v>
      </c>
      <c r="G104" s="14">
        <f>Params!B$2+SUMIF($C$2:C104,"&gt;0")</f>
        <v>105.54404008000006</v>
      </c>
      <c r="H104" s="14">
        <f>SUMIF($B$2:B104,"&lt;0")</f>
        <v>-104</v>
      </c>
      <c r="I104" s="14">
        <f>SUMIF($C$2:C104,"&lt;0")</f>
        <v>-53</v>
      </c>
    </row>
    <row r="105" spans="1:9" x14ac:dyDescent="0.25">
      <c r="A105" s="13">
        <v>44377</v>
      </c>
      <c r="B105" s="14"/>
      <c r="C105" s="14">
        <v>2.8946677799999998</v>
      </c>
      <c r="D105" s="14">
        <f>Params!B$3+SUM($B$2:B105)</f>
        <v>48</v>
      </c>
      <c r="E105" s="14">
        <f>Params!B$2+SUM($C$2:C105)</f>
        <v>55.438707859999973</v>
      </c>
      <c r="F105" s="14">
        <f>Params!B$3+SUMIF($B$2:B105,"&gt;0")</f>
        <v>152</v>
      </c>
      <c r="G105" s="14">
        <f>Params!B$2+SUMIF($C$2:C105,"&gt;0")</f>
        <v>108.43870786000006</v>
      </c>
      <c r="H105" s="14">
        <f>SUMIF($B$2:B105,"&lt;0")</f>
        <v>-104</v>
      </c>
      <c r="I105" s="14">
        <f>SUMIF($C$2:C105,"&lt;0")</f>
        <v>-53</v>
      </c>
    </row>
    <row r="106" spans="1:9" x14ac:dyDescent="0.25">
      <c r="A106" s="13">
        <v>44392</v>
      </c>
      <c r="B106" s="14">
        <v>4</v>
      </c>
      <c r="C106" s="14"/>
      <c r="D106" s="14">
        <f>Params!B$3+SUM($B$2:B106)</f>
        <v>52</v>
      </c>
      <c r="E106" s="14">
        <f>Params!B$2+SUM($C$2:C106)</f>
        <v>55.438707859999973</v>
      </c>
      <c r="F106" s="14">
        <f>Params!B$3+SUMIF($B$2:B106,"&gt;0")</f>
        <v>156</v>
      </c>
      <c r="G106" s="14">
        <f>Params!B$2+SUMIF($C$2:C106,"&gt;0")</f>
        <v>108.43870786000006</v>
      </c>
      <c r="H106" s="14">
        <f>SUMIF($B$2:B106,"&lt;0")</f>
        <v>-104</v>
      </c>
      <c r="I106" s="14">
        <f>SUMIF($C$2:C106,"&lt;0")</f>
        <v>-53</v>
      </c>
    </row>
    <row r="107" spans="1:9" x14ac:dyDescent="0.25">
      <c r="A107" s="13">
        <v>44392</v>
      </c>
      <c r="B107" s="14"/>
      <c r="C107" s="14">
        <v>2.8946677799999998</v>
      </c>
      <c r="D107" s="14">
        <f>Params!B$3+SUM($B$2:B107)</f>
        <v>52</v>
      </c>
      <c r="E107" s="14">
        <f>Params!B$2+SUM($C$2:C107)</f>
        <v>58.333375639999971</v>
      </c>
      <c r="F107" s="14">
        <f>Params!B$3+SUMIF($B$2:B107,"&gt;0")</f>
        <v>156</v>
      </c>
      <c r="G107" s="14">
        <f>Params!B$2+SUMIF($C$2:C107,"&gt;0")</f>
        <v>111.33337564000007</v>
      </c>
      <c r="H107" s="14">
        <f>SUMIF($B$2:B107,"&lt;0")</f>
        <v>-104</v>
      </c>
      <c r="I107" s="14">
        <f>SUMIF($C$2:C107,"&lt;0")</f>
        <v>-53</v>
      </c>
    </row>
    <row r="108" spans="1:9" x14ac:dyDescent="0.25">
      <c r="A108" s="13">
        <v>44408</v>
      </c>
      <c r="B108" s="14">
        <v>4</v>
      </c>
      <c r="C108" s="14"/>
      <c r="D108" s="14">
        <f>Params!B$3+SUM($B$2:B108)</f>
        <v>56</v>
      </c>
      <c r="E108" s="14">
        <f>Params!B$2+SUM($C$2:C108)</f>
        <v>58.333375639999971</v>
      </c>
      <c r="F108" s="14">
        <f>Params!B$3+SUMIF($B$2:B108,"&gt;0")</f>
        <v>160</v>
      </c>
      <c r="G108" s="14">
        <f>Params!B$2+SUMIF($C$2:C108,"&gt;0")</f>
        <v>111.33337564000007</v>
      </c>
      <c r="H108" s="14">
        <f>SUMIF($B$2:B108,"&lt;0")</f>
        <v>-104</v>
      </c>
      <c r="I108" s="14">
        <f>SUMIF($C$2:C108,"&lt;0")</f>
        <v>-53</v>
      </c>
    </row>
    <row r="109" spans="1:9" x14ac:dyDescent="0.25">
      <c r="A109" s="13">
        <v>44408</v>
      </c>
      <c r="B109" s="14"/>
      <c r="C109" s="14">
        <v>2.8946677799999998</v>
      </c>
      <c r="D109" s="14">
        <f>Params!B$3+SUM($B$2:B109)</f>
        <v>56</v>
      </c>
      <c r="E109" s="14">
        <f>Params!B$2+SUM($C$2:C109)</f>
        <v>61.22804341999997</v>
      </c>
      <c r="F109" s="14">
        <f>Params!B$3+SUMIF($B$2:B109,"&gt;0")</f>
        <v>160</v>
      </c>
      <c r="G109" s="14">
        <f>Params!B$2+SUMIF($C$2:C109,"&gt;0")</f>
        <v>114.22804342000008</v>
      </c>
      <c r="H109" s="14">
        <f>SUMIF($B$2:B109,"&lt;0")</f>
        <v>-104</v>
      </c>
      <c r="I109" s="14">
        <f>SUMIF($C$2:C109,"&lt;0")</f>
        <v>-53</v>
      </c>
    </row>
    <row r="110" spans="1:9" x14ac:dyDescent="0.25">
      <c r="A110" s="13">
        <v>44423</v>
      </c>
      <c r="B110" s="14">
        <v>4</v>
      </c>
      <c r="C110" s="14"/>
      <c r="D110" s="14">
        <f>Params!B$3+SUM($B$2:B110)</f>
        <v>60</v>
      </c>
      <c r="E110" s="14">
        <f>Params!B$2+SUM($C$2:C110)</f>
        <v>61.22804341999997</v>
      </c>
      <c r="F110" s="14">
        <f>Params!B$3+SUMIF($B$2:B110,"&gt;0")</f>
        <v>164</v>
      </c>
      <c r="G110" s="14">
        <f>Params!B$2+SUMIF($C$2:C110,"&gt;0")</f>
        <v>114.22804342000008</v>
      </c>
      <c r="H110" s="14">
        <f>SUMIF($B$2:B110,"&lt;0")</f>
        <v>-104</v>
      </c>
      <c r="I110" s="14">
        <f>SUMIF($C$2:C110,"&lt;0")</f>
        <v>-53</v>
      </c>
    </row>
    <row r="111" spans="1:9" x14ac:dyDescent="0.25">
      <c r="A111" s="13">
        <v>44423</v>
      </c>
      <c r="B111" s="14"/>
      <c r="C111" s="14">
        <v>2.8946677799999998</v>
      </c>
      <c r="D111" s="14">
        <f>Params!B$3+SUM($B$2:B111)</f>
        <v>60</v>
      </c>
      <c r="E111" s="14">
        <f>Params!B$2+SUM($C$2:C111)</f>
        <v>64.122711199999969</v>
      </c>
      <c r="F111" s="14">
        <f>Params!B$3+SUMIF($B$2:B111,"&gt;0")</f>
        <v>164</v>
      </c>
      <c r="G111" s="14">
        <f>Params!B$2+SUMIF($C$2:C111,"&gt;0")</f>
        <v>117.12271120000008</v>
      </c>
      <c r="H111" s="14">
        <f>SUMIF($B$2:B111,"&lt;0")</f>
        <v>-104</v>
      </c>
      <c r="I111" s="14">
        <f>SUMIF($C$2:C111,"&lt;0")</f>
        <v>-53</v>
      </c>
    </row>
    <row r="112" spans="1:9" x14ac:dyDescent="0.25">
      <c r="A112" s="13">
        <v>44439</v>
      </c>
      <c r="B112" s="14">
        <v>4</v>
      </c>
      <c r="C112" s="14"/>
      <c r="D112" s="14">
        <f>Params!B$3+SUM($B$2:B112)</f>
        <v>64</v>
      </c>
      <c r="E112" s="14">
        <f>Params!B$2+SUM($C$2:C112)</f>
        <v>64.122711199999969</v>
      </c>
      <c r="F112" s="14">
        <f>Params!B$3+SUMIF($B$2:B112,"&gt;0")</f>
        <v>168</v>
      </c>
      <c r="G112" s="14">
        <f>Params!B$2+SUMIF($C$2:C112,"&gt;0")</f>
        <v>117.12271120000008</v>
      </c>
      <c r="H112" s="14">
        <f>SUMIF($B$2:B112,"&lt;0")</f>
        <v>-104</v>
      </c>
      <c r="I112" s="14">
        <f>SUMIF($C$2:C112,"&lt;0")</f>
        <v>-53</v>
      </c>
    </row>
    <row r="113" spans="1:9" x14ac:dyDescent="0.25">
      <c r="A113" s="13">
        <v>44439</v>
      </c>
      <c r="B113" s="14"/>
      <c r="C113" s="14">
        <v>2.8946677799999998</v>
      </c>
      <c r="D113" s="14">
        <f>Params!B$3+SUM($B$2:B113)</f>
        <v>64</v>
      </c>
      <c r="E113" s="14">
        <f>Params!B$2+SUM($C$2:C113)</f>
        <v>67.017378979999975</v>
      </c>
      <c r="F113" s="14">
        <f>Params!B$3+SUMIF($B$2:B113,"&gt;0")</f>
        <v>168</v>
      </c>
      <c r="G113" s="14">
        <f>Params!B$2+SUMIF($C$2:C113,"&gt;0")</f>
        <v>120.01737898000009</v>
      </c>
      <c r="H113" s="14">
        <f>SUMIF($B$2:B113,"&lt;0")</f>
        <v>-104</v>
      </c>
      <c r="I113" s="14">
        <f>SUMIF($C$2:C113,"&lt;0")</f>
        <v>-53</v>
      </c>
    </row>
    <row r="114" spans="1:9" x14ac:dyDescent="0.25">
      <c r="A114" s="13">
        <v>44454</v>
      </c>
      <c r="B114" s="14">
        <v>4</v>
      </c>
      <c r="C114" s="14"/>
      <c r="D114" s="14">
        <f>Params!B$3+SUM($B$2:B114)</f>
        <v>68</v>
      </c>
      <c r="E114" s="14">
        <f>Params!B$2+SUM($C$2:C114)</f>
        <v>67.017378979999975</v>
      </c>
      <c r="F114" s="14">
        <f>Params!B$3+SUMIF($B$2:B114,"&gt;0")</f>
        <v>172</v>
      </c>
      <c r="G114" s="14">
        <f>Params!B$2+SUMIF($C$2:C114,"&gt;0")</f>
        <v>120.01737898000009</v>
      </c>
      <c r="H114" s="14">
        <f>SUMIF($B$2:B114,"&lt;0")</f>
        <v>-104</v>
      </c>
      <c r="I114" s="14">
        <f>SUMIF($C$2:C114,"&lt;0")</f>
        <v>-53</v>
      </c>
    </row>
    <row r="115" spans="1:9" x14ac:dyDescent="0.25">
      <c r="A115" s="13">
        <v>44454</v>
      </c>
      <c r="B115" s="14"/>
      <c r="C115" s="14">
        <v>2.8946677799999998</v>
      </c>
      <c r="D115" s="14">
        <f>Params!B$3+SUM($B$2:B115)</f>
        <v>68</v>
      </c>
      <c r="E115" s="14">
        <f>Params!B$2+SUM($C$2:C115)</f>
        <v>69.912046759999981</v>
      </c>
      <c r="F115" s="14">
        <f>Params!B$3+SUMIF($B$2:B115,"&gt;0")</f>
        <v>172</v>
      </c>
      <c r="G115" s="14">
        <f>Params!B$2+SUMIF($C$2:C115,"&gt;0")</f>
        <v>122.91204676000009</v>
      </c>
      <c r="H115" s="14">
        <f>SUMIF($B$2:B115,"&lt;0")</f>
        <v>-104</v>
      </c>
      <c r="I115" s="14">
        <f>SUMIF($C$2:C115,"&lt;0")</f>
        <v>-53</v>
      </c>
    </row>
    <row r="116" spans="1:9" x14ac:dyDescent="0.25">
      <c r="A116" s="13">
        <v>44469</v>
      </c>
      <c r="B116" s="14">
        <v>4</v>
      </c>
      <c r="C116" s="14"/>
      <c r="D116" s="14">
        <f>Params!B$3+SUM($B$2:B116)</f>
        <v>72</v>
      </c>
      <c r="E116" s="14">
        <f>Params!B$2+SUM($C$2:C116)</f>
        <v>69.912046759999981</v>
      </c>
      <c r="F116" s="14">
        <f>Params!B$3+SUMIF($B$2:B116,"&gt;0")</f>
        <v>176</v>
      </c>
      <c r="G116" s="14">
        <f>Params!B$2+SUMIF($C$2:C116,"&gt;0")</f>
        <v>122.91204676000009</v>
      </c>
      <c r="H116" s="14">
        <f>SUMIF($B$2:B116,"&lt;0")</f>
        <v>-104</v>
      </c>
      <c r="I116" s="14">
        <f>SUMIF($C$2:C116,"&lt;0")</f>
        <v>-53</v>
      </c>
    </row>
    <row r="117" spans="1:9" x14ac:dyDescent="0.25">
      <c r="A117" s="13">
        <v>44469</v>
      </c>
      <c r="B117" s="14"/>
      <c r="C117" s="14">
        <v>2.8946677799999998</v>
      </c>
      <c r="D117" s="14">
        <f>Params!B$3+SUM($B$2:B117)</f>
        <v>72</v>
      </c>
      <c r="E117" s="14">
        <f>Params!B$2+SUM($C$2:C117)</f>
        <v>72.806714539999987</v>
      </c>
      <c r="F117" s="14">
        <f>Params!B$3+SUMIF($B$2:B117,"&gt;0")</f>
        <v>176</v>
      </c>
      <c r="G117" s="14">
        <f>Params!B$2+SUMIF($C$2:C117,"&gt;0")</f>
        <v>125.8067145400001</v>
      </c>
      <c r="H117" s="14">
        <f>SUMIF($B$2:B117,"&lt;0")</f>
        <v>-104</v>
      </c>
      <c r="I117" s="14">
        <f>SUMIF($C$2:C117,"&lt;0")</f>
        <v>-53</v>
      </c>
    </row>
    <row r="118" spans="1:9" x14ac:dyDescent="0.25">
      <c r="A118" s="13">
        <v>44484</v>
      </c>
      <c r="B118" s="14">
        <v>4</v>
      </c>
      <c r="C118" s="14"/>
      <c r="D118" s="14">
        <f>Params!B$3+SUM($B$2:B118)</f>
        <v>76</v>
      </c>
      <c r="E118" s="14">
        <f>Params!B$2+SUM($C$2:C118)</f>
        <v>72.806714539999987</v>
      </c>
      <c r="F118" s="14">
        <f>Params!B$3+SUMIF($B$2:B118,"&gt;0")</f>
        <v>180</v>
      </c>
      <c r="G118" s="14">
        <f>Params!B$2+SUMIF($C$2:C118,"&gt;0")</f>
        <v>125.8067145400001</v>
      </c>
      <c r="H118" s="14">
        <f>SUMIF($B$2:B118,"&lt;0")</f>
        <v>-104</v>
      </c>
      <c r="I118" s="14">
        <f>SUMIF($C$2:C118,"&lt;0")</f>
        <v>-53</v>
      </c>
    </row>
    <row r="119" spans="1:9" x14ac:dyDescent="0.25">
      <c r="A119" s="13">
        <v>44484</v>
      </c>
      <c r="B119" s="14"/>
      <c r="C119" s="14">
        <v>2.8946677799999998</v>
      </c>
      <c r="D119" s="14">
        <f>Params!B$3+SUM($B$2:B119)</f>
        <v>76</v>
      </c>
      <c r="E119" s="14">
        <f>Params!B$2+SUM($C$2:C119)</f>
        <v>75.701382319999993</v>
      </c>
      <c r="F119" s="14">
        <f>Params!B$3+SUMIF($B$2:B119,"&gt;0")</f>
        <v>180</v>
      </c>
      <c r="G119" s="14">
        <f>Params!B$2+SUMIF($C$2:C119,"&gt;0")</f>
        <v>128.70138232000011</v>
      </c>
      <c r="H119" s="14">
        <f>SUMIF($B$2:B119,"&lt;0")</f>
        <v>-104</v>
      </c>
      <c r="I119" s="14">
        <f>SUMIF($C$2:C119,"&lt;0")</f>
        <v>-53</v>
      </c>
    </row>
    <row r="120" spans="1:9" x14ac:dyDescent="0.25">
      <c r="A120" s="13">
        <v>44500</v>
      </c>
      <c r="B120" s="14">
        <v>4</v>
      </c>
      <c r="C120" s="14"/>
      <c r="D120" s="14">
        <f>Params!B$3+SUM($B$2:B120)</f>
        <v>80</v>
      </c>
      <c r="E120" s="14">
        <f>Params!B$2+SUM($C$2:C120)</f>
        <v>75.701382319999993</v>
      </c>
      <c r="F120" s="14">
        <f>Params!B$3+SUMIF($B$2:B120,"&gt;0")</f>
        <v>184</v>
      </c>
      <c r="G120" s="14">
        <f>Params!B$2+SUMIF($C$2:C120,"&gt;0")</f>
        <v>128.70138232000011</v>
      </c>
      <c r="H120" s="14">
        <f>SUMIF($B$2:B120,"&lt;0")</f>
        <v>-104</v>
      </c>
      <c r="I120" s="14">
        <f>SUMIF($C$2:C120,"&lt;0")</f>
        <v>-53</v>
      </c>
    </row>
    <row r="121" spans="1:9" x14ac:dyDescent="0.25">
      <c r="A121" s="13">
        <v>44500</v>
      </c>
      <c r="B121" s="14"/>
      <c r="C121" s="14">
        <v>2.8946677799999998</v>
      </c>
      <c r="D121" s="14">
        <f>Params!B$3+SUM($B$2:B121)</f>
        <v>80</v>
      </c>
      <c r="E121" s="14">
        <f>Params!B$2+SUM($C$2:C121)</f>
        <v>78.596050099999999</v>
      </c>
      <c r="F121" s="14">
        <f>Params!B$3+SUMIF($B$2:B121,"&gt;0")</f>
        <v>184</v>
      </c>
      <c r="G121" s="14">
        <f>Params!B$2+SUMIF($C$2:C121,"&gt;0")</f>
        <v>131.59605010000013</v>
      </c>
      <c r="H121" s="14">
        <f>SUMIF($B$2:B121,"&lt;0")</f>
        <v>-104</v>
      </c>
      <c r="I121" s="14">
        <f>SUMIF($C$2:C121,"&lt;0")</f>
        <v>-53</v>
      </c>
    </row>
    <row r="122" spans="1:9" x14ac:dyDescent="0.25">
      <c r="A122" s="13">
        <v>44515</v>
      </c>
      <c r="B122" s="14">
        <v>4</v>
      </c>
      <c r="C122" s="14"/>
      <c r="D122" s="14">
        <f>Params!B$3+SUM($B$2:B122)</f>
        <v>84</v>
      </c>
      <c r="E122" s="14">
        <f>Params!B$2+SUM($C$2:C122)</f>
        <v>78.596050099999999</v>
      </c>
      <c r="F122" s="14">
        <f>Params!B$3+SUMIF($B$2:B122,"&gt;0")</f>
        <v>188</v>
      </c>
      <c r="G122" s="14">
        <f>Params!B$2+SUMIF($C$2:C122,"&gt;0")</f>
        <v>131.59605010000013</v>
      </c>
      <c r="H122" s="14">
        <f>SUMIF($B$2:B122,"&lt;0")</f>
        <v>-104</v>
      </c>
      <c r="I122" s="14">
        <f>SUMIF($C$2:C122,"&lt;0")</f>
        <v>-53</v>
      </c>
    </row>
    <row r="123" spans="1:9" x14ac:dyDescent="0.25">
      <c r="A123" s="13">
        <v>44515</v>
      </c>
      <c r="B123" s="14"/>
      <c r="C123" s="14">
        <v>2.8946677799999998</v>
      </c>
      <c r="D123" s="14">
        <f>Params!B$3+SUM($B$2:B123)</f>
        <v>84</v>
      </c>
      <c r="E123" s="14">
        <f>Params!B$2+SUM($C$2:C123)</f>
        <v>81.490717880000005</v>
      </c>
      <c r="F123" s="14">
        <f>Params!B$3+SUMIF($B$2:B123,"&gt;0")</f>
        <v>188</v>
      </c>
      <c r="G123" s="14">
        <f>Params!B$2+SUMIF($C$2:C123,"&gt;0")</f>
        <v>134.49071788000012</v>
      </c>
      <c r="H123" s="14">
        <f>SUMIF($B$2:B123,"&lt;0")</f>
        <v>-104</v>
      </c>
      <c r="I123" s="14">
        <f>SUMIF($C$2:C123,"&lt;0")</f>
        <v>-53</v>
      </c>
    </row>
    <row r="124" spans="1:9" x14ac:dyDescent="0.25">
      <c r="A124" s="13">
        <v>44530</v>
      </c>
      <c r="B124" s="14">
        <v>4</v>
      </c>
      <c r="C124" s="14"/>
      <c r="D124" s="14">
        <f>Params!B$3+SUM($B$2:B124)</f>
        <v>88</v>
      </c>
      <c r="E124" s="14">
        <f>Params!B$2+SUM($C$2:C124)</f>
        <v>81.490717880000005</v>
      </c>
      <c r="F124" s="14">
        <f>Params!B$3+SUMIF($B$2:B124,"&gt;0")</f>
        <v>192</v>
      </c>
      <c r="G124" s="14">
        <f>Params!B$2+SUMIF($C$2:C124,"&gt;0")</f>
        <v>134.49071788000012</v>
      </c>
      <c r="H124" s="14">
        <f>SUMIF($B$2:B124,"&lt;0")</f>
        <v>-104</v>
      </c>
      <c r="I124" s="14">
        <f>SUMIF($C$2:C124,"&lt;0")</f>
        <v>-53</v>
      </c>
    </row>
    <row r="125" spans="1:9" x14ac:dyDescent="0.25">
      <c r="A125" s="13">
        <v>44530</v>
      </c>
      <c r="B125" s="14"/>
      <c r="C125" s="14">
        <v>2.8946677799999998</v>
      </c>
      <c r="D125" s="14">
        <f>Params!B$3+SUM($B$2:B125)</f>
        <v>88</v>
      </c>
      <c r="E125" s="14">
        <f>Params!B$2+SUM($C$2:C125)</f>
        <v>84.385385660000011</v>
      </c>
      <c r="F125" s="14">
        <f>Params!B$3+SUMIF($B$2:B125,"&gt;0")</f>
        <v>192</v>
      </c>
      <c r="G125" s="14">
        <f>Params!B$2+SUMIF($C$2:C125,"&gt;0")</f>
        <v>137.38538566000011</v>
      </c>
      <c r="H125" s="14">
        <f>SUMIF($B$2:B125,"&lt;0")</f>
        <v>-104</v>
      </c>
      <c r="I125" s="14">
        <f>SUMIF($C$2:C125,"&lt;0")</f>
        <v>-53</v>
      </c>
    </row>
    <row r="126" spans="1:9" x14ac:dyDescent="0.25">
      <c r="A126" s="13">
        <v>44545</v>
      </c>
      <c r="B126" s="14">
        <v>4</v>
      </c>
      <c r="C126" s="14"/>
      <c r="D126" s="14">
        <f>Params!B$3+SUM($B$2:B126)</f>
        <v>92</v>
      </c>
      <c r="E126" s="14">
        <f>Params!B$2+SUM($C$2:C126)</f>
        <v>84.385385660000011</v>
      </c>
      <c r="F126" s="14">
        <f>Params!B$3+SUMIF($B$2:B126,"&gt;0")</f>
        <v>196</v>
      </c>
      <c r="G126" s="14">
        <f>Params!B$2+SUMIF($C$2:C126,"&gt;0")</f>
        <v>137.38538566000011</v>
      </c>
      <c r="H126" s="14">
        <f>SUMIF($B$2:B126,"&lt;0")</f>
        <v>-104</v>
      </c>
      <c r="I126" s="14">
        <f>SUMIF($C$2:C126,"&lt;0")</f>
        <v>-53</v>
      </c>
    </row>
    <row r="127" spans="1:9" x14ac:dyDescent="0.25">
      <c r="A127" s="13">
        <v>44545</v>
      </c>
      <c r="B127" s="14"/>
      <c r="C127" s="14">
        <v>2.8946677799999998</v>
      </c>
      <c r="D127" s="14">
        <f>Params!B$3+SUM($B$2:B127)</f>
        <v>92</v>
      </c>
      <c r="E127" s="14">
        <f>Params!B$2+SUM($C$2:C127)</f>
        <v>87.280053440000017</v>
      </c>
      <c r="F127" s="14">
        <f>Params!B$3+SUMIF($B$2:B127,"&gt;0")</f>
        <v>196</v>
      </c>
      <c r="G127" s="14">
        <f>Params!B$2+SUMIF($C$2:C127,"&gt;0")</f>
        <v>140.2800534400001</v>
      </c>
      <c r="H127" s="14">
        <f>SUMIF($B$2:B127,"&lt;0")</f>
        <v>-104</v>
      </c>
      <c r="I127" s="14">
        <f>SUMIF($C$2:C127,"&lt;0")</f>
        <v>-53</v>
      </c>
    </row>
    <row r="128" spans="1:9" x14ac:dyDescent="0.25">
      <c r="A128" s="13">
        <v>44561</v>
      </c>
      <c r="B128" s="14">
        <v>4</v>
      </c>
      <c r="C128" s="14"/>
      <c r="D128" s="14">
        <f>Params!B$3+SUM($B$2:B128)</f>
        <v>96</v>
      </c>
      <c r="E128" s="14">
        <f>Params!B$2+SUM($C$2:C128)</f>
        <v>87.280053440000017</v>
      </c>
      <c r="F128" s="14">
        <f>Params!B$3+SUMIF($B$2:B128,"&gt;0")</f>
        <v>200</v>
      </c>
      <c r="G128" s="14">
        <f>Params!B$2+SUMIF($C$2:C128,"&gt;0")</f>
        <v>140.2800534400001</v>
      </c>
      <c r="H128" s="14">
        <f>SUMIF($B$2:B128,"&lt;0")</f>
        <v>-104</v>
      </c>
      <c r="I128" s="14">
        <f>SUMIF($C$2:C128,"&lt;0")</f>
        <v>-53</v>
      </c>
    </row>
    <row r="129" spans="1:9" x14ac:dyDescent="0.25">
      <c r="A129" s="13">
        <v>44561</v>
      </c>
      <c r="B129" s="14"/>
      <c r="C129" s="14">
        <v>2.8946677799999998</v>
      </c>
      <c r="D129" s="14">
        <f>Params!B$3+SUM($B$2:B129)</f>
        <v>96</v>
      </c>
      <c r="E129" s="14">
        <f>Params!B$2+SUM($C$2:C129)</f>
        <v>90.174721220000023</v>
      </c>
      <c r="F129" s="14">
        <f>Params!B$3+SUMIF($B$2:B129,"&gt;0")</f>
        <v>200</v>
      </c>
      <c r="G129" s="14">
        <f>Params!B$2+SUMIF($C$2:C129,"&gt;0")</f>
        <v>143.17472122000009</v>
      </c>
      <c r="H129" s="14">
        <f>SUMIF($B$2:B129,"&lt;0")</f>
        <v>-104</v>
      </c>
      <c r="I129" s="14">
        <f>SUMIF($C$2:C129,"&lt;0")</f>
        <v>-53</v>
      </c>
    </row>
  </sheetData>
  <conditionalFormatting sqref="A1048384:I1048392 A1048396:I1048576">
    <cfRule type="expression" dxfId="15" priority="110">
      <formula>AND($A1048384 &lt;= $M$5,#REF! &gt; $M$5)</formula>
    </cfRule>
  </conditionalFormatting>
  <conditionalFormatting sqref="A1048393:I1048395">
    <cfRule type="expression" dxfId="14" priority="170">
      <formula>AND($A1048393 &lt;= $M$5,#REF! &gt; $M$5)</formula>
    </cfRule>
  </conditionalFormatting>
  <conditionalFormatting sqref="A1048379:I1048383">
    <cfRule type="expression" dxfId="13" priority="1507">
      <formula>AND($A1048379 &lt;= $M$5,$A5 &gt; $M$5)</formula>
    </cfRule>
  </conditionalFormatting>
  <conditionalFormatting sqref="A5:I129">
    <cfRule type="expression" dxfId="11" priority="1" stopIfTrue="1">
      <formula>AND($A5 &lt;= $M$5,$A6 &gt; $M$5)</formula>
    </cfRule>
  </conditionalFormatting>
  <pageMargins left="0.7" right="0.7" top="0.75" bottom="0.75" header="0.3" footer="0.3"/>
  <pageSetup orientation="portrait" horizontalDpi="90" verticalDpi="9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"/>
  <sheetViews>
    <sheetView workbookViewId="0">
      <selection activeCell="B5" sqref="B5"/>
    </sheetView>
  </sheetViews>
  <sheetFormatPr defaultRowHeight="15" x14ac:dyDescent="0.25"/>
  <cols>
    <col min="1" max="1" width="18.85546875" bestFit="1" customWidth="1"/>
    <col min="2" max="2" width="9.7109375" bestFit="1" customWidth="1"/>
  </cols>
  <sheetData>
    <row r="1" spans="1:2" x14ac:dyDescent="0.25">
      <c r="A1" t="s">
        <v>2</v>
      </c>
      <c r="B1" s="1">
        <v>43805</v>
      </c>
    </row>
    <row r="2" spans="1:2" x14ac:dyDescent="0.25">
      <c r="A2" t="s">
        <v>5</v>
      </c>
      <c r="B2">
        <v>1.3360000000000001</v>
      </c>
    </row>
    <row r="3" spans="1:2" x14ac:dyDescent="0.25">
      <c r="A3" t="s">
        <v>6</v>
      </c>
      <c r="B3">
        <v>4</v>
      </c>
    </row>
    <row r="4" spans="1:2" x14ac:dyDescent="0.25">
      <c r="A4" t="s">
        <v>12</v>
      </c>
      <c r="B4">
        <f>(86.6667 * 0.0334)</f>
        <v>2.8946677800000002</v>
      </c>
    </row>
    <row r="5" spans="1:2" x14ac:dyDescent="0.25">
      <c r="A5" t="s">
        <v>13</v>
      </c>
      <c r="B5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Time Log</vt:lpstr>
      <vt:lpstr>Params</vt:lpstr>
    </vt:vector>
  </TitlesOfParts>
  <Company>Ogletree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Wagner, Austin</dc:creator>
  <cp:lastModifiedBy>Asante Wagner</cp:lastModifiedBy>
  <dcterms:created xsi:type="dcterms:W3CDTF">2020-01-24T13:28:13Z</dcterms:created>
  <dcterms:modified xsi:type="dcterms:W3CDTF">2021-12-01T00:30:49Z</dcterms:modified>
</cp:coreProperties>
</file>